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2" autoFilterDateGrouping="1"/>
  </bookViews>
  <sheets>
    <sheet xmlns:r="http://schemas.openxmlformats.org/officeDocument/2006/relationships" name="Petunjuk" sheetId="1" state="visible" r:id="rId1"/>
    <sheet xmlns:r="http://schemas.openxmlformats.org/officeDocument/2006/relationships" name="KK Penjaminan Kualitas" sheetId="2" state="visible" r:id="rId2"/>
    <sheet xmlns:r="http://schemas.openxmlformats.org/officeDocument/2006/relationships" name="Rekap Parameter" sheetId="3" state="visible" r:id="rId3"/>
    <sheet xmlns:r="http://schemas.openxmlformats.org/officeDocument/2006/relationships" name="Rekap Unsur" sheetId="4" state="visible" r:id="rId4"/>
  </sheets>
  <definedNames>
    <definedName name="_xlnm._FilterDatabase" localSheetId="1" hidden="1">'KK Penjaminan Kualitas'!$A$4:$U$678</definedName>
    <definedName name="_xlnm.Print_Titles" localSheetId="1">'KK Penjaminan Kualitas'!$4:$5</definedName>
    <definedName name="_xlnm.Print_Titles" localSheetId="2">'Rekap Parameter'!$4:$4</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20">
    <font>
      <name val="Calibri"/>
      <charset val="1"/>
      <family val="2"/>
      <color theme="1"/>
      <sz val="11"/>
    </font>
    <font>
      <name val="Arial"/>
      <charset val="1"/>
      <b val="1"/>
      <color rgb="FF000000"/>
      <sz val="13"/>
    </font>
    <font>
      <name val="Arial"/>
      <charset val="1"/>
      <i val="1"/>
      <color rgb="FF000000"/>
      <sz val="10"/>
    </font>
    <font>
      <name val="Arial"/>
      <charset val="1"/>
      <b val="1"/>
      <color rgb="FF000000"/>
      <sz val="10"/>
    </font>
    <font>
      <name val="Arial"/>
      <charset val="1"/>
      <b val="1"/>
      <color rgb="FF000000"/>
      <sz val="9"/>
    </font>
    <font>
      <name val="Arial"/>
      <charset val="1"/>
      <color rgb="FF000000"/>
      <sz val="9"/>
    </font>
    <font>
      <name val="Arial"/>
      <charset val="1"/>
      <color rgb="FF0000FF"/>
      <sz val="9"/>
    </font>
    <font>
      <name val="Arial"/>
      <charset val="1"/>
      <i val="1"/>
      <color rgb="FF000000"/>
      <sz val="8"/>
    </font>
    <font>
      <name val="Arial"/>
      <charset val="1"/>
      <i val="1"/>
      <color rgb="FF595959"/>
      <sz val="9"/>
    </font>
    <font>
      <name val="Arial"/>
      <charset val="1"/>
      <b val="1"/>
      <color rgb="FF000000"/>
      <sz val="12"/>
    </font>
    <font>
      <name val="Arial"/>
      <charset val="1"/>
      <color rgb="FF000000"/>
      <sz val="10"/>
    </font>
    <font>
      <name val="Arial"/>
      <charset val="1"/>
      <b val="1"/>
      <color rgb="FFFFFFFF"/>
      <sz val="9"/>
    </font>
    <font>
      <name val="Arial"/>
      <charset val="1"/>
      <b val="1"/>
      <sz val="9"/>
    </font>
    <font>
      <name val="Arial"/>
      <charset val="1"/>
      <sz val="9"/>
    </font>
    <font>
      <name val="Arial"/>
      <charset val="1"/>
      <b val="1"/>
      <sz val="10"/>
    </font>
    <font>
      <name val="Arial"/>
      <charset val="1"/>
      <color rgb="FF808080"/>
      <sz val="8"/>
    </font>
    <font>
      <name val="Arial"/>
      <charset val="1"/>
      <sz val="10"/>
    </font>
    <font>
      <name val="Arial"/>
      <family val="2"/>
      <color rgb="FF000000"/>
      <sz val="9"/>
    </font>
    <font>
      <name val="Arial"/>
      <family val="2"/>
      <color rgb="FFFF0000"/>
      <sz val="9"/>
    </font>
    <font>
      <name val="Arial"/>
      <family val="2"/>
      <b val="1"/>
      <sz val="9"/>
    </font>
  </fonts>
  <fills count="14">
    <fill>
      <patternFill/>
    </fill>
    <fill>
      <patternFill patternType="gray125"/>
    </fill>
    <fill>
      <patternFill patternType="solid">
        <fgColor rgb="FFFFF2CC"/>
        <bgColor rgb="FFFCE4D6"/>
      </patternFill>
    </fill>
    <fill>
      <patternFill patternType="solid">
        <fgColor rgb="FF1F3864"/>
        <bgColor rgb="FF333399"/>
      </patternFill>
    </fill>
    <fill>
      <patternFill patternType="solid">
        <fgColor rgb="FF7F6000"/>
        <bgColor rgb="FF595959"/>
      </patternFill>
    </fill>
    <fill>
      <patternFill patternType="solid">
        <fgColor rgb="FF375623"/>
        <bgColor rgb="FF595959"/>
      </patternFill>
    </fill>
    <fill>
      <patternFill patternType="solid">
        <fgColor rgb="FFF2F2F2"/>
        <bgColor rgb="FFE2EFDA"/>
      </patternFill>
    </fill>
    <fill>
      <patternFill patternType="solid">
        <fgColor rgb="FFC6E0B4"/>
        <bgColor rgb="FFC6EFCE"/>
      </patternFill>
    </fill>
    <fill>
      <patternFill patternType="solid">
        <fgColor rgb="FFE2EFDA"/>
        <bgColor rgb="FFDDEBF7"/>
      </patternFill>
    </fill>
    <fill>
      <patternFill patternType="solid">
        <fgColor rgb="FFDDEBF7"/>
        <bgColor rgb="FFD9E1F2"/>
      </patternFill>
    </fill>
    <fill>
      <patternFill patternType="solid">
        <fgColor rgb="FFFCE4D6"/>
        <bgColor rgb="FFFFF2CC"/>
      </patternFill>
    </fill>
    <fill>
      <patternFill patternType="solid">
        <fgColor rgb="FFF8CBAD"/>
        <bgColor rgb="FFFFC7CE"/>
      </patternFill>
    </fill>
    <fill>
      <patternFill patternType="solid">
        <fgColor rgb="FFD9E1F2"/>
        <bgColor rgb="FFDDEBF7"/>
      </patternFill>
    </fill>
    <fill>
      <patternFill patternType="solid">
        <fgColor rgb="FFB4C6E7"/>
        <bgColor rgb="FFC6E0B4"/>
      </patternFill>
    </fill>
  </fills>
  <borders count="9">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medium">
        <color rgb="FF1F3864"/>
      </top>
      <bottom style="thin">
        <color rgb="FF808080"/>
      </bottom>
      <diagonal/>
    </border>
    <border>
      <left style="thin">
        <color rgb="FF808080"/>
      </left>
      <right/>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style="thin">
        <color rgb="FF808080"/>
      </top>
      <bottom/>
      <diagonal/>
    </border>
    <border>
      <left/>
      <right style="thin">
        <color rgb="FF808080"/>
      </right>
      <top style="thin">
        <color rgb="FF808080"/>
      </top>
      <bottom/>
      <diagonal/>
    </border>
    <border>
      <left/>
      <right style="thin">
        <color rgb="FF808080"/>
      </right>
      <top style="thin">
        <color rgb="FF808080"/>
      </top>
      <bottom style="thin">
        <color rgb="FF808080"/>
      </bottom>
      <diagonal/>
    </border>
  </borders>
  <cellStyleXfs count="1">
    <xf numFmtId="0" fontId="0" fillId="0" borderId="0"/>
  </cellStyleXfs>
  <cellXfs count="88">
    <xf numFmtId="0" fontId="0" fillId="0" borderId="0" pivotButton="0" quotePrefix="0" xfId="0"/>
    <xf numFmtId="164" fontId="4" fillId="8" borderId="1" applyAlignment="1" pivotButton="0" quotePrefix="0" xfId="0">
      <alignment horizontal="center" vertical="center" wrapText="1"/>
    </xf>
    <xf numFmtId="9" fontId="5" fillId="8" borderId="1" applyAlignment="1" pivotButton="0" quotePrefix="0" xfId="0">
      <alignment horizontal="center" vertical="center" wrapText="1"/>
    </xf>
    <xf numFmtId="0" fontId="5" fillId="0" borderId="1" applyAlignment="1" pivotButton="0" quotePrefix="0" xfId="0">
      <alignment vertical="top" wrapText="1"/>
    </xf>
    <xf numFmtId="9" fontId="5" fillId="8" borderId="2" applyAlignment="1" pivotButton="0" quotePrefix="0" xfId="0">
      <alignment horizontal="center" vertical="center" wrapText="1"/>
    </xf>
    <xf numFmtId="0" fontId="5" fillId="0" borderId="2"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2" borderId="1" applyAlignment="1" pivotButton="0" quotePrefix="0" xfId="0">
      <alignment vertical="top" wrapText="1"/>
    </xf>
    <xf numFmtId="9" fontId="6" fillId="2" borderId="1" applyAlignment="1" pivotButton="0" quotePrefix="0" xfId="0">
      <alignment horizontal="center" vertical="center" wrapText="1"/>
    </xf>
    <xf numFmtId="0" fontId="7" fillId="0" borderId="0" applyAlignment="1" pivotButton="0" quotePrefix="0" xfId="0">
      <alignment vertical="top" wrapText="1"/>
    </xf>
    <xf numFmtId="0" fontId="8" fillId="0" borderId="1" applyAlignment="1" pivotButton="0" quotePrefix="0" xfId="0">
      <alignment vertical="top" wrapText="1"/>
    </xf>
    <xf numFmtId="0" fontId="4" fillId="0" borderId="0" applyAlignment="1" pivotButton="0" quotePrefix="0" xfId="0">
      <alignment vertical="top" wrapText="1"/>
    </xf>
    <xf numFmtId="0" fontId="9" fillId="0" borderId="0" pivotButton="0" quotePrefix="0" xfId="0"/>
    <xf numFmtId="0" fontId="10" fillId="0" borderId="0" pivotButton="0" quotePrefix="0" xfId="0"/>
    <xf numFmtId="0" fontId="11" fillId="3" borderId="1" applyAlignment="1" pivotButton="0" quotePrefix="0" xfId="0">
      <alignment horizontal="center" vertical="center" wrapText="1"/>
    </xf>
    <xf numFmtId="0" fontId="11"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14" fillId="7"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2" borderId="2" applyAlignment="1" pivotButton="0" quotePrefix="0" xfId="0">
      <alignment horizontal="center" vertical="center" wrapText="1"/>
    </xf>
    <xf numFmtId="0" fontId="5" fillId="2" borderId="2" applyAlignment="1" pivotButton="0" quotePrefix="0" xfId="0">
      <alignment vertical="top" wrapText="1"/>
    </xf>
    <xf numFmtId="0" fontId="5" fillId="8" borderId="2" applyAlignment="1" pivotButton="0" quotePrefix="0" xfId="0">
      <alignment horizontal="center" vertical="center" wrapText="1"/>
    </xf>
    <xf numFmtId="0" fontId="15" fillId="0" borderId="2" applyAlignment="1" pivotButton="0" quotePrefix="0" xfId="0">
      <alignment horizontal="center" vertical="center" wrapText="1"/>
    </xf>
    <xf numFmtId="0" fontId="14"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8" borderId="1" applyAlignment="1" pivotButton="0" quotePrefix="0" xfId="0">
      <alignment horizontal="center" vertical="center" wrapText="1"/>
    </xf>
    <xf numFmtId="0" fontId="15"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2"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4" fillId="12" borderId="1" applyAlignment="1" pivotButton="0" quotePrefix="0" xfId="0">
      <alignment vertical="top" wrapText="1"/>
    </xf>
    <xf numFmtId="0" fontId="5" fillId="0" borderId="1" applyAlignment="1" pivotButton="0" quotePrefix="0" xfId="0">
      <alignment vertical="center" wrapText="1"/>
    </xf>
    <xf numFmtId="164" fontId="5" fillId="8" borderId="1" applyAlignment="1" pivotButton="0" quotePrefix="0" xfId="0">
      <alignment horizontal="center" vertical="center" wrapText="1"/>
    </xf>
    <xf numFmtId="0" fontId="15" fillId="0" borderId="0" pivotButton="0" quotePrefix="0" xfId="0"/>
    <xf numFmtId="0" fontId="4" fillId="12" borderId="1" applyAlignment="1" pivotButton="0" quotePrefix="0" xfId="0">
      <alignment horizontal="center" vertical="center" wrapText="1"/>
    </xf>
    <xf numFmtId="9" fontId="4" fillId="12" borderId="1" applyAlignment="1" pivotButton="0" quotePrefix="0" xfId="0">
      <alignment horizontal="center" vertical="center" wrapText="1"/>
    </xf>
    <xf numFmtId="164" fontId="4" fillId="12" borderId="1" applyAlignment="1" pivotButton="0" quotePrefix="0" xfId="0">
      <alignment horizontal="center" vertical="center" wrapText="1"/>
    </xf>
    <xf numFmtId="0" fontId="4" fillId="0" borderId="1" applyAlignment="1" pivotButton="0" quotePrefix="0" xfId="0">
      <alignment horizontal="center" vertical="center" wrapText="1"/>
    </xf>
    <xf numFmtId="0" fontId="7" fillId="0" borderId="0" pivotButton="0" quotePrefix="0" xfId="0"/>
    <xf numFmtId="0" fontId="4" fillId="12" borderId="1" applyAlignment="1" pivotButton="0" quotePrefix="0" xfId="0">
      <alignment vertical="center" wrapText="1"/>
    </xf>
    <xf numFmtId="165" fontId="4" fillId="12" borderId="1" applyAlignment="1" pivotButton="0" quotePrefix="0" xfId="0">
      <alignment horizontal="center" vertical="center" wrapText="1"/>
    </xf>
    <xf numFmtId="0" fontId="4" fillId="8" borderId="1" applyAlignment="1" pivotButton="0" quotePrefix="0" xfId="0">
      <alignment horizontal="center" vertical="center" wrapText="1"/>
    </xf>
    <xf numFmtId="165" fontId="5" fillId="0"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3" borderId="1" applyAlignment="1" pivotButton="0" quotePrefix="0" xfId="0">
      <alignment vertical="center"/>
    </xf>
    <xf numFmtId="165"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0" fontId="16" fillId="0" borderId="0" pivotButton="0" quotePrefix="0" xfId="0"/>
    <xf numFmtId="0" fontId="14" fillId="0" borderId="0" pivotButton="0" quotePrefix="0" xfId="0"/>
    <xf numFmtId="164" fontId="4" fillId="8" borderId="1" applyAlignment="1" pivotButton="0" quotePrefix="0" xfId="0">
      <alignment horizontal="center" vertical="center" wrapText="1"/>
    </xf>
    <xf numFmtId="0" fontId="12" fillId="0" borderId="2" applyAlignment="1" pivotButton="0" quotePrefix="0" xfId="0">
      <alignment horizontal="center" vertical="top" wrapText="1"/>
    </xf>
    <xf numFmtId="0" fontId="12" fillId="0" borderId="2" applyAlignment="1" pivotButton="0" quotePrefix="0" xfId="0">
      <alignment vertical="top" wrapText="1"/>
    </xf>
    <xf numFmtId="0" fontId="13" fillId="0" borderId="2" applyAlignment="1" pivotButton="0" quotePrefix="0" xfId="0">
      <alignment horizontal="center" vertical="top" wrapText="1"/>
    </xf>
    <xf numFmtId="0" fontId="13" fillId="0" borderId="2" applyAlignment="1" pivotButton="0" quotePrefix="0" xfId="0">
      <alignment vertical="top" wrapText="1"/>
    </xf>
    <xf numFmtId="0" fontId="5" fillId="0" borderId="2" applyAlignment="1" pivotButton="0" quotePrefix="0" xfId="0">
      <alignment vertical="top" wrapText="1"/>
    </xf>
    <xf numFmtId="9" fontId="5" fillId="8" borderId="2" applyAlignment="1" pivotButton="0" quotePrefix="0" xfId="0">
      <alignment horizontal="center" vertical="center" wrapText="1"/>
    </xf>
    <xf numFmtId="0" fontId="5" fillId="0" borderId="1" applyAlignment="1" pivotButton="0" quotePrefix="0" xfId="0">
      <alignment vertical="top" wrapText="1"/>
    </xf>
    <xf numFmtId="9" fontId="5" fillId="8" borderId="1" applyAlignment="1" pivotButton="0" quotePrefix="0" xfId="0">
      <alignment horizontal="center" vertical="center" wrapText="1"/>
    </xf>
    <xf numFmtId="0" fontId="5" fillId="2" borderId="1" applyAlignment="1" pivotButton="0" quotePrefix="0" xfId="0">
      <alignment horizontal="left" vertical="top" wrapText="1"/>
    </xf>
    <xf numFmtId="0" fontId="17" fillId="2" borderId="1" applyAlignment="1" pivotButton="0" quotePrefix="1" xfId="0">
      <alignment vertical="top" wrapText="1"/>
    </xf>
    <xf numFmtId="0" fontId="17" fillId="2" borderId="1" applyAlignment="1" pivotButton="0" quotePrefix="0" xfId="0">
      <alignment vertical="top" wrapText="1"/>
    </xf>
    <xf numFmtId="0" fontId="5" fillId="2" borderId="1" applyAlignment="1" pivotButton="0" quotePrefix="0" xfId="0">
      <alignment vertical="center" wrapText="1"/>
    </xf>
    <xf numFmtId="0" fontId="0" fillId="0" borderId="0" applyAlignment="1" pivotButton="0" quotePrefix="0" xfId="0">
      <alignment vertical="center"/>
    </xf>
    <xf numFmtId="0" fontId="5" fillId="0" borderId="1" applyAlignment="1" pivotButton="0" quotePrefix="0" xfId="0">
      <alignment horizontal="center" vertical="top" wrapText="1"/>
    </xf>
    <xf numFmtId="0" fontId="5" fillId="2" borderId="1" applyAlignment="1" pivotButton="0" quotePrefix="0" xfId="0">
      <alignment horizontal="center" vertical="top" wrapText="1"/>
    </xf>
    <xf numFmtId="0" fontId="18" fillId="0" borderId="1" applyAlignment="1" pivotButton="0" quotePrefix="0" xfId="0">
      <alignment vertical="top" wrapText="1"/>
    </xf>
    <xf numFmtId="0" fontId="19" fillId="0" borderId="2" applyAlignment="1" pivotButton="0" quotePrefix="0" xfId="0">
      <alignment vertical="top" wrapText="1"/>
    </xf>
    <xf numFmtId="0" fontId="19" fillId="0" borderId="2" applyAlignment="1" pivotButton="0" quotePrefix="0" xfId="0">
      <alignment horizontal="center" vertical="top" wrapText="1"/>
    </xf>
    <xf numFmtId="0" fontId="17" fillId="0" borderId="1" applyAlignment="1" pivotButton="0" quotePrefix="0" xfId="0">
      <alignment vertical="top" wrapText="1"/>
    </xf>
    <xf numFmtId="0" fontId="17" fillId="2" borderId="1" applyAlignment="1" pivotButton="0" quotePrefix="0" xfId="0">
      <alignment vertical="center" wrapText="1"/>
    </xf>
    <xf numFmtId="0" fontId="5" fillId="0" borderId="2" applyAlignment="1" pivotButton="0" quotePrefix="0" xfId="0">
      <alignment horizontal="left" vertical="top" wrapText="1"/>
    </xf>
    <xf numFmtId="0" fontId="0" fillId="0" borderId="4" pivotButton="0" quotePrefix="0" xfId="0"/>
    <xf numFmtId="0" fontId="5" fillId="0" borderId="1" applyAlignment="1" pivotButton="0" quotePrefix="0" xfId="0">
      <alignment horizontal="left" vertical="top" wrapText="1"/>
    </xf>
    <xf numFmtId="0" fontId="0" fillId="0" borderId="5" pivotButton="0" quotePrefix="0" xfId="0"/>
    <xf numFmtId="0" fontId="18" fillId="0" borderId="1" applyAlignment="1" pivotButton="0" quotePrefix="0" xfId="0">
      <alignment horizontal="left" vertical="top" wrapText="1"/>
    </xf>
    <xf numFmtId="0" fontId="17" fillId="0" borderId="1" applyAlignment="1" pivotButton="0" quotePrefix="0" xfId="0">
      <alignment horizontal="left" vertical="top" wrapText="1"/>
    </xf>
    <xf numFmtId="0" fontId="0" fillId="0" borderId="0" applyAlignment="1" pivotButton="0" quotePrefix="0" xfId="0">
      <alignment horizontal="left" vertical="top" wrapText="1"/>
    </xf>
    <xf numFmtId="0" fontId="4" fillId="12" borderId="1" applyAlignment="1" pivotButton="0" quotePrefix="0" xfId="0">
      <alignment horizontal="left" vertical="top" wrapText="1"/>
    </xf>
    <xf numFmtId="0" fontId="0" fillId="0" borderId="8" pivotButton="0" quotePrefix="0" xfId="0"/>
    <xf numFmtId="0" fontId="11" fillId="3" borderId="1"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cellXfs>
  <cellStyles count="1">
    <cellStyle name="Normal" xfId="0" builtinId="0"/>
  </cellStyles>
  <dxfs count="8">
    <dxf>
      <fill>
        <patternFill>
          <bgColor rgb="FFFFC7CE"/>
        </patternFill>
      </fill>
    </dxf>
    <dxf>
      <font>
        <b val="1"/>
      </font>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7F6000"/>
      <rgbColor rgb="FF800080"/>
      <rgbColor rgb="FF008080"/>
      <rgbColor rgb="FFB4C6E7"/>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C6E0B4"/>
      <rgbColor rgb="FFFFC7CE"/>
      <rgbColor rgb="FFFCE4D6"/>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KAWAL SPIP</author>
  </authors>
  <commentList>
    <comment ref="K4" authorId="0" shapeId="0">
      <text>
        <t>Kolom ini diisi otomatis oleh aplikasi dari file yang di-upload pada Evidence Struktur dan Proses. Jangan diubah manual.</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D39"/>
  <sheetViews>
    <sheetView topLeftCell="A19" zoomScaleNormal="100" workbookViewId="0">
      <selection activeCell="C26" sqref="C26"/>
    </sheetView>
  </sheetViews>
  <sheetFormatPr baseColWidth="8" defaultColWidth="8.6640625" defaultRowHeight="14.25"/>
  <cols>
    <col width="4" customWidth="1" min="1" max="1"/>
    <col width="34" customWidth="1" min="2" max="2"/>
    <col width="70" customWidth="1" min="3" max="3"/>
    <col width="14" customWidth="1" min="4" max="4"/>
  </cols>
  <sheetData>
    <row r="1" ht="16.9" customHeight="1">
      <c r="B1" s="6" t="inlineStr">
        <is>
          <t>KERTAS KERJA PENJAMINAN KUALITAS / QUALITY ASSURANCE APIP</t>
        </is>
      </c>
    </row>
    <row r="2">
      <c r="B2" s="7" t="inlineStr">
        <is>
          <t>Penjaminan Kualitas Evidence Struktur dan Proses – KK 3.1 OPD | KAWAL SPIP</t>
        </is>
      </c>
    </row>
    <row r="4">
      <c r="B4" s="8" t="inlineStr">
        <is>
          <t>A. IDENTITAS</t>
        </is>
      </c>
    </row>
    <row r="5">
      <c r="B5" s="9" t="inlineStr">
        <is>
          <t>Nama OPD</t>
        </is>
      </c>
      <c r="C5" s="10" t="inlineStr">
        <is>
          <t>INSPEKTORAT KABUPATEN MAHAKAM ULU</t>
        </is>
      </c>
    </row>
    <row r="6">
      <c r="B6" s="9" t="inlineStr">
        <is>
          <t>Tahun Penilaian</t>
        </is>
      </c>
      <c r="C6" s="64" t="n">
        <v>2026</v>
      </c>
    </row>
    <row r="7">
      <c r="B7" s="9" t="inlineStr">
        <is>
          <t>Tanggal Penjaminan Kualitas</t>
        </is>
      </c>
      <c r="C7" s="65" t="inlineStr">
        <is>
          <t>28 Septembeer s.d 30 September 2026</t>
        </is>
      </c>
    </row>
    <row r="8">
      <c r="B8" s="9" t="inlineStr">
        <is>
          <t>Pengendali Teknis</t>
        </is>
      </c>
      <c r="C8" s="66" t="inlineStr">
        <is>
          <t>Plt. Inspektur</t>
        </is>
      </c>
    </row>
    <row r="9">
      <c r="B9" s="9" t="inlineStr">
        <is>
          <t>Ketua Tim</t>
        </is>
      </c>
      <c r="C9" s="66" t="inlineStr">
        <is>
          <t>Evolonia Dypuri Dew, S.IP, M.Si</t>
        </is>
      </c>
    </row>
    <row r="10">
      <c r="B10" s="9" t="inlineStr">
        <is>
          <t>Anggota Tim</t>
        </is>
      </c>
      <c r="C10" s="66" t="inlineStr">
        <is>
          <t>Erik Firnandus Bang, ST</t>
        </is>
      </c>
    </row>
    <row r="11">
      <c r="B11" s="9" t="n"/>
      <c r="C11" s="66" t="inlineStr">
        <is>
          <t>Kresensia Eka Suba, ST</t>
        </is>
      </c>
    </row>
    <row r="13">
      <c r="B13" s="8" t="inlineStr">
        <is>
          <t>B. PARAMETER PENILAIAN</t>
        </is>
      </c>
    </row>
    <row r="14">
      <c r="B14" s="9" t="inlineStr">
        <is>
          <t>Ambang batas grade dinyatakan terpenuhi</t>
        </is>
      </c>
      <c r="C14" s="11" t="n">
        <v>1</v>
      </c>
      <c r="D14" s="12" t="inlineStr">
        <is>
          <t>dapat diubah</t>
        </is>
      </c>
    </row>
    <row r="15" ht="34.9" customHeight="1">
      <c r="B15" s="9" t="inlineStr">
        <is>
          <t>Catatan ambang batas</t>
        </is>
      </c>
      <c r="C15" s="62" t="inlineStr">
        <is>
          <t>Default 100%: seluruh evidence yang relevan (selain N/A) pada suatu grade harus tersedia dan sesuai kriteria. Nilai ini adalah asumsi kertas kerja, bukan ketentuan Peraturan BPKP No. 5/2021; sesuaikan dengan kebijakan tim.</t>
        </is>
      </c>
    </row>
    <row r="17">
      <c r="B17" s="8" t="inlineStr">
        <is>
          <t>C. CARA PENGISIAN (sheet 'KK Penjaminan Kualitas')</t>
        </is>
      </c>
    </row>
    <row r="18" ht="23.25" customHeight="1">
      <c r="B18" s="9" t="inlineStr">
        <is>
          <t>Sel yang diisi</t>
        </is>
      </c>
      <c r="C18" s="62" t="inlineStr">
        <is>
          <t>Hanya sel berwarna kuning (kolom K s.d. P). Kolom lain terkunci secara konsep (berasal dari Pedoman KK 3.1) dan berisi rumus.</t>
        </is>
      </c>
    </row>
    <row r="19" ht="34.9" customHeight="1">
      <c r="B19" s="9" t="inlineStr">
        <is>
          <t>K – Ketersediaan</t>
        </is>
      </c>
      <c r="C19" s="62" t="inlineStr">
        <is>
          <t>Ada / Tidak Ada / N/A. Gunakan N/A hanya untuk evidence bertanda 'jika ada' atau yang kejadiannya memang tidak terjadi pada periode penilaian; wajib diberi alasan di kolom Catatan. Item N/A dikeluarkan dari penyebut persentase.</t>
        </is>
      </c>
    </row>
    <row r="20" ht="23.25" customHeight="1">
      <c r="B20" s="9" t="inlineStr">
        <is>
          <t>L – Identitas Dokumen</t>
        </is>
      </c>
      <c r="C20" s="62" t="inlineStr">
        <is>
          <t>Judul, nomor, dan tanggal dokumen yang benar-benar diperiksa (mis. 'Keputusan Kepala Dinas No. 800/12/2026 tgl 5 Feb 2026').</t>
        </is>
      </c>
    </row>
    <row r="21" ht="23.25" customHeight="1">
      <c r="B21" s="9" t="inlineStr">
        <is>
          <t>M – Keabsahan</t>
        </is>
      </c>
      <c r="C21" s="62" t="inlineStr">
        <is>
          <t>Ya bila dokumen telah ditetapkan/ditandatangani pejabat berwenang (atau sah secara elektronik); Tidak bila masih draf/tanpa pengesahan.</t>
        </is>
      </c>
    </row>
    <row r="22" ht="23.25" customHeight="1">
      <c r="B22" s="9" t="inlineStr">
        <is>
          <t>N – Periode</t>
        </is>
      </c>
      <c r="C22" s="62" t="inlineStr">
        <is>
          <t>Ya bila dokumen berlaku/dibuat untuk tahun penilaian; Tidak bila kedaluwarsa atau di luar periode.</t>
        </is>
      </c>
    </row>
    <row r="23" ht="23.25" customHeight="1">
      <c r="B23" s="9" t="inlineStr">
        <is>
          <t>O – Substansi</t>
        </is>
      </c>
      <c r="C23" s="62" t="inlineStr">
        <is>
          <t>Sesuai / Sebagian / Tidak Sesuai – dibandingkan dengan Kriteria (kolom G) dan Fokus Pembuktian (kolom H).</t>
        </is>
      </c>
    </row>
    <row r="24" ht="34.9" customHeight="1">
      <c r="B24" s="9" t="inlineStr">
        <is>
          <t>Q – Nilai (otomatis)</t>
        </is>
      </c>
      <c r="C24" s="62" t="inlineStr">
        <is>
          <t>1 = Ada + Sah + Periode sesuai + Substansi Sesuai;  0,5 = Ada tetapi salah satu dari keabsahan/periode tidak terpenuhi atau substansi Sebagian;  0 = Tidak Ada atau Substansi Tidak Sesuai;  kosong = belum dinilai atau N/A.</t>
        </is>
      </c>
    </row>
    <row r="25">
      <c r="B25" s="9" t="inlineStr">
        <is>
          <t>R – Kesimpulan item (otomatis)</t>
        </is>
      </c>
      <c r="C25" s="62" t="inlineStr">
        <is>
          <t>Memenuhi / Memenuhi Sebagian / Tidak Memenuhi / N/A / Belum dinilai.</t>
        </is>
      </c>
    </row>
    <row r="26" ht="23.25" customHeight="1">
      <c r="B26" s="9" t="inlineStr">
        <is>
          <t>% Pemenuhan</t>
        </is>
      </c>
      <c r="C26" s="62" t="inlineStr">
        <is>
          <t>Σ Nilai ÷ jumlah item yang dinilai (di luar N/A). Dihitung per grade, per parameter, per subunsur, per unsur, dan total OPD.</t>
        </is>
      </c>
    </row>
    <row r="27" ht="34.9" customHeight="1">
      <c r="B27" s="9" t="inlineStr">
        <is>
          <t>Grade Indikatif</t>
        </is>
      </c>
      <c r="C27" s="62" t="inlineStr">
        <is>
          <t>Grade tertinggi yang dicapai secara berjenjang: E terpenuhi → Level 1; E+D → Level 2; E+D+C → Level 3; E s.d. B → Level 4; E s.d. A → Level 5. Ini indikasi dari kelengkapan dokumen, bukan simpulan akhir penilaian maturitas.</t>
        </is>
      </c>
    </row>
    <row r="29">
      <c r="B29" s="8" t="inlineStr">
        <is>
          <t>D. CONTOH PENGISIAN SATU BARIS</t>
        </is>
      </c>
    </row>
    <row r="30">
      <c r="B30" s="9" t="inlineStr">
        <is>
          <t>Evidence disarankan</t>
        </is>
      </c>
      <c r="C30" s="13" t="inlineStr">
        <is>
          <t>Pakta Integritas</t>
        </is>
      </c>
    </row>
    <row r="31">
      <c r="B31" s="9" t="inlineStr">
        <is>
          <t>K – Ketersediaan</t>
        </is>
      </c>
      <c r="C31" s="13" t="inlineStr">
        <is>
          <t>Ada</t>
        </is>
      </c>
    </row>
    <row r="32">
      <c r="B32" s="9" t="inlineStr">
        <is>
          <t>L – Identitas Dokumen</t>
        </is>
      </c>
      <c r="C32" s="13" t="inlineStr">
        <is>
          <t>Pakta Integritas Kepala Dinas &amp; pejabat struktural, ditandatangani 6 Januari 2026</t>
        </is>
      </c>
    </row>
    <row r="33">
      <c r="B33" s="9" t="inlineStr">
        <is>
          <t>M – Keabsahan</t>
        </is>
      </c>
      <c r="C33" s="13" t="inlineStr">
        <is>
          <t>Ya</t>
        </is>
      </c>
    </row>
    <row r="34">
      <c r="B34" s="9" t="inlineStr">
        <is>
          <t>N – Periode</t>
        </is>
      </c>
      <c r="C34" s="13" t="inlineStr">
        <is>
          <t>Ya</t>
        </is>
      </c>
    </row>
    <row r="35">
      <c r="B35" s="9" t="inlineStr">
        <is>
          <t>O – Hasil QA APIP dihitung otomatis berdasarkan penilaian pada KK Penjaminan Kualitas.</t>
        </is>
      </c>
      <c r="C35" s="13" t="inlineStr">
        <is>
          <t>Sebagian</t>
        </is>
      </c>
    </row>
    <row r="36">
      <c r="B36" s="9" t="inlineStr">
        <is>
          <t>P – Catatan Penjamin Kualitas / QA APIP digunakan untuk mencatat alasan, koreksi, atau tindak lanjut.</t>
        </is>
      </c>
      <c r="C36" s="13" t="inlineStr">
        <is>
          <t>Pakta integritas pejabat fungsional belum lengkap (5 dari 12 pegawai)</t>
        </is>
      </c>
    </row>
    <row r="37">
      <c r="B37" s="9" t="inlineStr">
        <is>
          <t>Q – Nilai (otomatis)</t>
        </is>
      </c>
      <c r="C37" s="13" t="inlineStr">
        <is>
          <t>0,5 → Memenuhi Sebagian</t>
        </is>
      </c>
    </row>
    <row r="39" ht="30.4" customHeight="1">
      <c r="B39" s="14" t="inlineStr">
        <is>
          <t>Sumber</t>
        </is>
      </c>
      <c r="C39" s="12" t="inlineStr">
        <is>
          <t>Daftar evidence diambil dari kolom (12) 'Nama Evidence yang Disarankan' pada Lampiran Pedoman KAWAL SPIP KK 3.1 OPD. Sesuai catatan pedoman, daftar ini adalah bukti yang disarankan, bukan daftar dokumen wajib Peraturan BPKP No. 5/2021.</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fitToPage="1"/>
  </sheetPr>
  <dimension ref="A1:V678"/>
  <sheetViews>
    <sheetView zoomScaleNormal="100" workbookViewId="0">
      <pane ySplit="5" topLeftCell="A6" activePane="bottomLeft" state="frozen"/>
      <selection pane="bottomLeft" activeCell="E1" sqref="E1"/>
      <selection pane="bottomLeft" activeCell="A6" sqref="A6"/>
      <selection pane="bottomRight" activeCell="O670" sqref="O670"/>
    </sheetView>
  </sheetViews>
  <sheetFormatPr baseColWidth="8" defaultColWidth="8.6640625" defaultRowHeight="14.25"/>
  <cols>
    <col width="8" customWidth="1" min="1" max="1"/>
    <col width="18" customWidth="1" min="2" max="2"/>
    <col width="5" customWidth="1" min="3" max="3"/>
    <col width="26" customWidth="1" min="4" max="4"/>
    <col width="6" customWidth="1" min="5" max="5"/>
    <col width="14" customWidth="1" min="6" max="6"/>
    <col width="34" customWidth="1" min="7" max="7"/>
    <col width="28" customWidth="1" min="8" max="8"/>
    <col width="5" customWidth="1" min="9" max="9"/>
    <col width="38" customWidth="1" min="10" max="10"/>
    <col width="34" customWidth="1" min="11" max="11"/>
    <col width="13" customWidth="1" min="12" max="12"/>
    <col width="30" customWidth="1" min="13" max="14"/>
    <col width="10" customWidth="1" min="14" max="14"/>
    <col width="13" customWidth="1" min="15" max="15"/>
    <col width="14" customWidth="1" min="16" max="16"/>
    <col width="30" customWidth="1" min="17" max="17"/>
    <col width="7" customWidth="1" min="18" max="18"/>
    <col width="14" customWidth="1" min="19" max="19"/>
    <col width="8" customWidth="1" min="20" max="20"/>
    <col width="9" customWidth="1" min="21" max="21"/>
  </cols>
  <sheetData>
    <row r="1" ht="15.4" customHeight="1">
      <c r="A1" s="15" t="inlineStr">
        <is>
          <t>KERTAS KERJA PENJAMINAN KUALITAS / QUALITY ASSURANCE APIP – KK 3.1 OPD (STRUKTUR DAN PROSES)</t>
        </is>
      </c>
    </row>
    <row r="2">
      <c r="A2" s="16">
        <f>"OPD: "&amp;IF(Petunjuk!$C$5="","..........",Petunjuk!$C$5)&amp;"     |     Tahun Penilaian: "&amp;IF(Petunjuk!$C$6="","....",Petunjuk!$C$6)</f>
        <v/>
      </c>
    </row>
    <row r="4" ht="54" customHeight="1">
      <c r="A4" s="17" t="inlineStr">
        <is>
          <t>Kode
Subunsur</t>
        </is>
      </c>
      <c r="B4" s="17" t="inlineStr">
        <is>
          <t>Uraian Subunsur</t>
        </is>
      </c>
      <c r="C4" s="17" t="inlineStr">
        <is>
          <t>No
Par.</t>
        </is>
      </c>
      <c r="D4" s="17" t="inlineStr">
        <is>
          <t>Uraian Parameter</t>
        </is>
      </c>
      <c r="E4" s="17" t="inlineStr">
        <is>
          <t>Grade</t>
        </is>
      </c>
      <c r="F4" s="17" t="inlineStr">
        <is>
          <t>Tahapan Grade</t>
        </is>
      </c>
      <c r="G4" s="17" t="inlineStr">
        <is>
          <t>Kriteria</t>
        </is>
      </c>
      <c r="H4" s="17" t="inlineStr">
        <is>
          <t>Fokus yang Harus Dibuktikan</t>
        </is>
      </c>
      <c r="I4" s="17" t="inlineStr">
        <is>
          <t>No
Item</t>
        </is>
      </c>
      <c r="J4" s="17" t="inlineStr">
        <is>
          <t>Nama Evidence yang Disarankan</t>
        </is>
      </c>
      <c r="K4" s="17" t="inlineStr">
        <is>
          <t>File Evidence
(Tarikan Evidence Struktur &amp; Proses)</t>
        </is>
      </c>
      <c r="L4" s="18" t="inlineStr">
        <is>
          <t>Ketersediaan
(Ada/Tidak Ada/N/A)</t>
        </is>
      </c>
      <c r="M4" s="18" t="inlineStr">
        <is>
          <t>Identitas Dokumen yang Diperiksa
(judul, nomor, tanggal)</t>
        </is>
      </c>
      <c r="N4" s="18" t="inlineStr">
        <is>
          <t>Keabsahan
(Ya/Tidak)</t>
        </is>
      </c>
      <c r="O4" s="18" t="inlineStr">
        <is>
          <t>Periode Sesuai
(Ya/Tidak)</t>
        </is>
      </c>
      <c r="P4" s="18" t="inlineStr">
        <is>
          <t>Substansi vs Kriteria
(Sesuai/Sebagian/Tidak Sesuai)</t>
        </is>
      </c>
      <c r="Q4" s="18" t="inlineStr">
        <is>
          <t>Catatan Penjamin Kualitas / QA APIP</t>
        </is>
      </c>
      <c r="R4" s="19" t="inlineStr">
        <is>
          <t>Nilai</t>
        </is>
      </c>
      <c r="S4" s="19" t="inlineStr">
        <is>
          <t>Kesimpulan Item</t>
        </is>
      </c>
      <c r="T4" s="17" t="inlineStr">
        <is>
          <t>Kunci Par.</t>
        </is>
      </c>
      <c r="U4" s="19" t="inlineStr">
        <is>
          <t>% Grade</t>
        </is>
      </c>
    </row>
    <row r="5">
      <c r="A5" s="20" t="n">
        <v>1</v>
      </c>
      <c r="B5" s="20" t="n">
        <v>2</v>
      </c>
      <c r="C5" s="20" t="n">
        <v>3</v>
      </c>
      <c r="D5" s="20" t="n">
        <v>4</v>
      </c>
      <c r="E5" s="20" t="n">
        <v>5</v>
      </c>
      <c r="F5" s="20" t="n">
        <v>6</v>
      </c>
      <c r="G5" s="20" t="n">
        <v>7</v>
      </c>
      <c r="H5" s="20" t="n">
        <v>8</v>
      </c>
      <c r="I5" s="20" t="n">
        <v>9</v>
      </c>
      <c r="J5" s="20" t="n">
        <v>10</v>
      </c>
      <c r="K5" s="20" t="n"/>
      <c r="L5" s="20" t="n">
        <v>11</v>
      </c>
      <c r="M5" s="20" t="n">
        <v>12</v>
      </c>
      <c r="N5" s="20" t="n">
        <v>13</v>
      </c>
      <c r="O5" s="20" t="n">
        <v>14</v>
      </c>
      <c r="P5" s="20" t="n">
        <v>15</v>
      </c>
      <c r="Q5" s="20" t="n">
        <v>16</v>
      </c>
      <c r="R5" s="20" t="n">
        <v>17</v>
      </c>
      <c r="S5" s="20" t="n">
        <v>18</v>
      </c>
      <c r="T5" s="20" t="n">
        <v>19</v>
      </c>
      <c r="U5" s="20" t="n">
        <v>20</v>
      </c>
    </row>
    <row r="6" ht="27" customHeight="1">
      <c r="A6" s="56" t="inlineStr">
        <is>
          <t>1.1</t>
        </is>
      </c>
      <c r="B6" s="57" t="inlineStr">
        <is>
          <t>Penegakan Integritas dan Nilai Etika</t>
        </is>
      </c>
      <c r="C6" s="58" t="n">
        <v>1</v>
      </c>
      <c r="D6" s="59" t="inlineStr">
        <is>
          <t>K/L/D menegakkan integritas dan nilai etika dalam melaksanakan tugas dan fungsi organiasi</t>
        </is>
      </c>
      <c r="E6" s="21" t="inlineStr">
        <is>
          <t>A</t>
        </is>
      </c>
      <c r="F6" s="60" t="inlineStr">
        <is>
          <t>A – Perbaikan Berkelanjutan</t>
        </is>
      </c>
      <c r="G6" s="60" t="inlineStr">
        <is>
          <t>Penegakan integritas dan nilai etika telah diperbaiki secara berkelanjutan sehingga tercipta suasana kerja organisasi yang kondusif yang dapat mendorong kinerja para pegawai secara optimal</t>
        </is>
      </c>
      <c r="H6" s="60" t="inlineStr">
        <is>
          <t>Integritas dan nilai etika telah menjadi bagian dari perilaku organisasi dan diterapkan secara konsisten oleh individu/pegawai</t>
        </is>
      </c>
      <c r="I6" s="22" t="n">
        <v>1</v>
      </c>
      <c r="J6" s="60" t="inlineStr">
        <is>
          <t>Rekap monitoring/penerapan integritas selama 1 tahun</t>
        </is>
      </c>
      <c r="K6" s="76" t="inlineStr"/>
      <c r="L6" s="23" t="n"/>
      <c r="M6" s="24" t="n"/>
      <c r="N6" s="23" t="n"/>
      <c r="O6" s="23" t="n"/>
      <c r="P6" s="23" t="n"/>
      <c r="Q6" s="24" t="n"/>
      <c r="R6" s="25">
        <f>IF(OR(L6="",L6="N/A"),"",IF(L6="Tidak Ada",0,IF(P6="","",IF(P6="Tidak Sesuai",0,IF(AND(N6="Ya",O6="Ya",P6="Sesuai"),1,0.5)))))</f>
        <v/>
      </c>
      <c r="S6" s="25">
        <f>IF(L6="N/A","N/A",IF(R6="","Belum dinilai",IF(R6=1,"Memenuhi",IF(R6=0,"Tidak Memenuhi","Memenuhi Sebagian"))))</f>
        <v/>
      </c>
      <c r="T6" s="26" t="inlineStr">
        <is>
          <t>1.1-1</t>
        </is>
      </c>
      <c r="U6" s="61">
        <f>IF(COUNT(R6:R9)=0,"",SUM(R6:R9)/COUNT(R6:R9))</f>
        <v/>
      </c>
    </row>
    <row r="7" ht="27" customHeight="1">
      <c r="A7" s="77" t="n"/>
      <c r="B7" s="77" t="n"/>
      <c r="C7" s="77" t="n"/>
      <c r="D7" s="77" t="n"/>
      <c r="E7" s="27" t="inlineStr">
        <is>
          <t>A</t>
        </is>
      </c>
      <c r="F7" s="77" t="n"/>
      <c r="G7" s="77" t="n"/>
      <c r="H7" s="77" t="n"/>
      <c r="I7" s="28" t="n">
        <v>2</v>
      </c>
      <c r="J7" s="62" t="inlineStr">
        <is>
          <t>Rekap pelanggaran dan tindak lanjut</t>
        </is>
      </c>
      <c r="K7" s="78" t="inlineStr"/>
      <c r="L7" s="29" t="n"/>
      <c r="M7" s="10" t="n"/>
      <c r="N7" s="29" t="n"/>
      <c r="O7" s="29" t="n"/>
      <c r="P7" s="29" t="n"/>
      <c r="Q7" s="10" t="n"/>
      <c r="R7" s="30">
        <f>IF(OR(L7="",L7="N/A"),"",IF(L7="Tidak Ada",0,IF(P7="","",IF(P7="Tidak Sesuai",0,IF(AND(N7="Ya",O7="Ya",P7="Sesuai"),1,0.5)))))</f>
        <v/>
      </c>
      <c r="S7" s="30">
        <f>IF(L7="N/A","N/A",IF(R7="","Belum dinilai",IF(R7=1,"Memenuhi",IF(R7=0,"Tidak Memenuhi","Memenuhi Sebagian"))))</f>
        <v/>
      </c>
      <c r="T7" s="31" t="inlineStr">
        <is>
          <t>1.1-1</t>
        </is>
      </c>
      <c r="U7" s="77" t="n"/>
    </row>
    <row r="8" ht="27" customHeight="1">
      <c r="A8" s="77" t="n"/>
      <c r="B8" s="77" t="n"/>
      <c r="C8" s="77" t="n"/>
      <c r="D8" s="77" t="n"/>
      <c r="E8" s="27" t="inlineStr">
        <is>
          <t>A</t>
        </is>
      </c>
      <c r="F8" s="77" t="n"/>
      <c r="G8" s="77" t="n"/>
      <c r="H8" s="77" t="n"/>
      <c r="I8" s="28" t="n">
        <v>3</v>
      </c>
      <c r="J8" s="62" t="inlineStr">
        <is>
          <t>Bukti perbaikan berkelanjutan</t>
        </is>
      </c>
      <c r="K8" s="78" t="inlineStr"/>
      <c r="L8" s="29" t="n"/>
      <c r="M8" s="10" t="n"/>
      <c r="N8" s="29" t="n"/>
      <c r="O8" s="29" t="n"/>
      <c r="P8" s="29" t="n"/>
      <c r="Q8" s="10" t="n"/>
      <c r="R8" s="30">
        <f>IF(OR(L8="",L8="N/A"),"",IF(L8="Tidak Ada",0,IF(P8="","",IF(P8="Tidak Sesuai",0,IF(AND(N8="Ya",O8="Ya",P8="Sesuai"),1,0.5)))))</f>
        <v/>
      </c>
      <c r="S8" s="30">
        <f>IF(L8="N/A","N/A",IF(R8="","Belum dinilai",IF(R8=1,"Memenuhi",IF(R8=0,"Tidak Memenuhi","Memenuhi Sebagian"))))</f>
        <v/>
      </c>
      <c r="T8" s="31" t="inlineStr">
        <is>
          <t>1.1-1</t>
        </is>
      </c>
      <c r="U8" s="77" t="n"/>
    </row>
    <row r="9" ht="27" customHeight="1">
      <c r="A9" s="77" t="n"/>
      <c r="B9" s="77" t="n"/>
      <c r="C9" s="77" t="n"/>
      <c r="D9" s="77" t="n"/>
      <c r="E9" s="27" t="inlineStr">
        <is>
          <t>A</t>
        </is>
      </c>
      <c r="F9" s="79" t="n"/>
      <c r="G9" s="79" t="n"/>
      <c r="H9" s="79" t="n"/>
      <c r="I9" s="28" t="n">
        <v>4</v>
      </c>
      <c r="J9" s="62" t="inlineStr">
        <is>
          <t>Bukti penerapan reward/punishment secara konsisten</t>
        </is>
      </c>
      <c r="K9" s="78" t="inlineStr"/>
      <c r="L9" s="29" t="n"/>
      <c r="M9" s="10" t="n"/>
      <c r="N9" s="29" t="n"/>
      <c r="O9" s="29" t="n"/>
      <c r="P9" s="29" t="n"/>
      <c r="Q9" s="10" t="n"/>
      <c r="R9" s="30">
        <f>IF(OR(L9="",L9="N/A"),"",IF(L9="Tidak Ada",0,IF(P9="","",IF(P9="Tidak Sesuai",0,IF(AND(N9="Ya",O9="Ya",P9="Sesuai"),1,0.5)))))</f>
        <v/>
      </c>
      <c r="S9" s="30">
        <f>IF(L9="N/A","N/A",IF(R9="","Belum dinilai",IF(R9=1,"Memenuhi",IF(R9=0,"Tidak Memenuhi","Memenuhi Sebagian"))))</f>
        <v/>
      </c>
      <c r="T9" s="31" t="inlineStr">
        <is>
          <t>1.1-1</t>
        </is>
      </c>
      <c r="U9" s="79" t="n"/>
    </row>
    <row r="10" ht="27" customHeight="1">
      <c r="A10" s="77" t="n"/>
      <c r="B10" s="77" t="n"/>
      <c r="C10" s="77" t="n"/>
      <c r="D10" s="77" t="n"/>
      <c r="E10" s="32" t="inlineStr">
        <is>
          <t>B</t>
        </is>
      </c>
      <c r="F10" s="62" t="inlineStr">
        <is>
          <t>B – Evaluasi &amp; Tindak Lanjut</t>
        </is>
      </c>
      <c r="G10" s="62" t="inlineStr">
        <is>
          <t>Kebijakan dan implementasi organisasi telah dievaluasi untuk meningkatkan integritas dan nilai etika para pegawai</t>
        </is>
      </c>
      <c r="H10" s="62" t="inlineStr">
        <is>
          <t>Penerapan integritas dan nilai etika telah dievaluasi dan hasilnya digunakan untuk melakukan perbaikan</t>
        </is>
      </c>
      <c r="I10" s="28" t="n">
        <v>1</v>
      </c>
      <c r="J10" s="62" t="inlineStr">
        <is>
          <t>Laporan hasil evaluasi/monitoring</t>
        </is>
      </c>
      <c r="K10" s="78" t="inlineStr"/>
      <c r="L10" s="29" t="n"/>
      <c r="M10" s="10" t="n"/>
      <c r="N10" s="29" t="n"/>
      <c r="O10" s="29" t="n"/>
      <c r="P10" s="29" t="n"/>
      <c r="Q10" s="10" t="inlineStr">
        <is>
          <t>Dokumen Level yang dipenuhi kurang relevan dengan kriteria</t>
        </is>
      </c>
      <c r="R10" s="30">
        <f>IF(OR(L10="",L10="N/A"),"",IF(L10="Tidak Ada",0,IF(P10="","",IF(P10="Tidak Sesuai",0,IF(AND(N10="Ya",O10="Ya",P10="Sesuai"),1,0.5)))))</f>
        <v/>
      </c>
      <c r="S10" s="30">
        <f>IF(L10="N/A","N/A",IF(R10="","Belum dinilai",IF(R10=1,"Memenuhi",IF(R10=0,"Tidak Memenuhi","Memenuhi Sebagian"))))</f>
        <v/>
      </c>
      <c r="T10" s="31" t="inlineStr">
        <is>
          <t>1.1-1</t>
        </is>
      </c>
      <c r="U10" s="63">
        <f>IF(COUNT(R10:R12)=0,"",SUM(R10:R12)/COUNT(R10:R12))</f>
        <v/>
      </c>
    </row>
    <row r="11" ht="27" customHeight="1">
      <c r="A11" s="77" t="n"/>
      <c r="B11" s="77" t="n"/>
      <c r="C11" s="77" t="n"/>
      <c r="D11" s="77" t="n"/>
      <c r="E11" s="32" t="inlineStr">
        <is>
          <t>B</t>
        </is>
      </c>
      <c r="F11" s="77" t="n"/>
      <c r="G11" s="77" t="n"/>
      <c r="H11" s="77" t="n"/>
      <c r="I11" s="28" t="n">
        <v>2</v>
      </c>
      <c r="J11" s="62" t="inlineStr">
        <is>
          <t>Dokumen tindak lanjut hasil evaluasi</t>
        </is>
      </c>
      <c r="K11" s="78" t="inlineStr"/>
      <c r="L11" s="29" t="n"/>
      <c r="M11" s="10" t="n"/>
      <c r="N11" s="29" t="n"/>
      <c r="O11" s="29" t="n"/>
      <c r="P11" s="29" t="n"/>
      <c r="Q11" s="10" t="n"/>
      <c r="R11" s="30">
        <f>IF(OR(L11="",L11="N/A"),"",IF(L11="Tidak Ada",0,IF(P11="","",IF(P11="Tidak Sesuai",0,IF(AND(N11="Ya",O11="Ya",P11="Sesuai"),1,0.5)))))</f>
        <v/>
      </c>
      <c r="S11" s="30">
        <f>IF(L11="N/A","N/A",IF(R11="","Belum dinilai",IF(R11=1,"Memenuhi",IF(R11=0,"Tidak Memenuhi","Memenuhi Sebagian"))))</f>
        <v/>
      </c>
      <c r="T11" s="31" t="inlineStr">
        <is>
          <t>1.1-1</t>
        </is>
      </c>
      <c r="U11" s="77" t="n"/>
    </row>
    <row r="12" ht="27" customHeight="1">
      <c r="A12" s="77" t="n"/>
      <c r="B12" s="77" t="n"/>
      <c r="C12" s="77" t="n"/>
      <c r="D12" s="77" t="n"/>
      <c r="E12" s="32" t="inlineStr">
        <is>
          <t>B</t>
        </is>
      </c>
      <c r="F12" s="79" t="n"/>
      <c r="G12" s="79" t="n"/>
      <c r="H12" s="79" t="n"/>
      <c r="I12" s="28" t="n">
        <v>3</v>
      </c>
      <c r="J12" s="62" t="inlineStr">
        <is>
          <t>Bukti perbaikan kebijakan/SOP</t>
        </is>
      </c>
      <c r="K12" s="78" t="inlineStr"/>
      <c r="L12" s="29" t="n"/>
      <c r="M12" s="10" t="n"/>
      <c r="N12" s="29" t="n"/>
      <c r="O12" s="29" t="n"/>
      <c r="P12" s="29" t="n"/>
      <c r="Q12" s="10" t="n"/>
      <c r="R12" s="30">
        <f>IF(OR(L12="",L12="N/A"),"",IF(L12="Tidak Ada",0,IF(P12="","",IF(P12="Tidak Sesuai",0,IF(AND(N12="Ya",O12="Ya",P12="Sesuai"),1,0.5)))))</f>
        <v/>
      </c>
      <c r="S12" s="30">
        <f>IF(L12="N/A","N/A",IF(R12="","Belum dinilai",IF(R12=1,"Memenuhi",IF(R12=0,"Tidak Memenuhi","Memenuhi Sebagian"))))</f>
        <v/>
      </c>
      <c r="T12" s="31" t="inlineStr">
        <is>
          <t>1.1-1</t>
        </is>
      </c>
      <c r="U12" s="79" t="n"/>
    </row>
    <row r="13" ht="27" customHeight="1">
      <c r="A13" s="77" t="n"/>
      <c r="B13" s="77" t="n"/>
      <c r="C13" s="77" t="n"/>
      <c r="D13" s="77" t="n"/>
      <c r="E13" s="33" t="inlineStr">
        <is>
          <t>C</t>
        </is>
      </c>
      <c r="F13" s="62" t="inlineStr">
        <is>
          <t>C – Implementasi</t>
        </is>
      </c>
      <c r="G13" s="62" t="inlineStr">
        <is>
          <t>Penegakan integritas dan nilai etika telah dilaksanakan oleh pegawai dalam pelaksanaan tugas dan fungsinya dalam organisasi</t>
        </is>
      </c>
      <c r="H13" s="62" t="inlineStr">
        <is>
          <t>Pimpinan memberikan keteladanan dan terdapat praktik nyata penegakan integritas</t>
        </is>
      </c>
      <c r="I13" s="28" t="n">
        <v>1</v>
      </c>
      <c r="J13" s="62" t="inlineStr">
        <is>
          <t>Pakta Integritas pimpinan</t>
        </is>
      </c>
      <c r="K13" s="78" t="inlineStr"/>
      <c r="L13" s="29" t="n"/>
      <c r="M13" s="10" t="n"/>
      <c r="N13" s="29" t="n"/>
      <c r="O13" s="29" t="n"/>
      <c r="P13" s="29" t="n"/>
      <c r="Q13" s="10" t="n"/>
      <c r="R13" s="30">
        <f>IF(OR(L13="",L13="N/A"),"",IF(L13="Tidak Ada",0,IF(P13="","",IF(P13="Tidak Sesuai",0,IF(AND(N13="Ya",O13="Ya",P13="Sesuai"),1,0.5)))))</f>
        <v/>
      </c>
      <c r="S13" s="30">
        <f>IF(L13="N/A","N/A",IF(R13="","Belum dinilai",IF(R13=1,"Memenuhi",IF(R13=0,"Tidak Memenuhi","Memenuhi Sebagian"))))</f>
        <v/>
      </c>
      <c r="T13" s="31" t="inlineStr">
        <is>
          <t>1.1-1</t>
        </is>
      </c>
      <c r="U13" s="63">
        <f>IF(COUNT(R13:R15)=0,"",SUM(R13:R15)/COUNT(R13:R15))</f>
        <v/>
      </c>
    </row>
    <row r="14" ht="27" customHeight="1">
      <c r="A14" s="77" t="n"/>
      <c r="B14" s="77" t="n"/>
      <c r="C14" s="77" t="n"/>
      <c r="D14" s="77" t="n"/>
      <c r="E14" s="33" t="inlineStr">
        <is>
          <t>C</t>
        </is>
      </c>
      <c r="F14" s="77" t="n"/>
      <c r="G14" s="77" t="n"/>
      <c r="H14" s="77" t="n"/>
      <c r="I14" s="28" t="n">
        <v>2</v>
      </c>
      <c r="J14" s="62" t="inlineStr">
        <is>
          <t>Notulen/arahan pimpinan tentang integritas</t>
        </is>
      </c>
      <c r="K14" s="78" t="inlineStr"/>
      <c r="L14" s="29" t="inlineStr">
        <is>
          <t>Ada</t>
        </is>
      </c>
      <c r="M14" s="10" t="inlineStr">
        <is>
          <t>Notulen Rapat Sosialisasi Budaya Disiplin Kerja</t>
        </is>
      </c>
      <c r="N14" s="29" t="inlineStr">
        <is>
          <t>Ya</t>
        </is>
      </c>
      <c r="O14" s="29" t="inlineStr">
        <is>
          <t>Ya</t>
        </is>
      </c>
      <c r="P14" s="29" t="inlineStr">
        <is>
          <t>Sesuai</t>
        </is>
      </c>
      <c r="Q14" s="10" t="n"/>
      <c r="R14" s="30">
        <f>IF(OR(L14="",L14="N/A"),"",IF(L14="Tidak Ada",0,IF(P14="","",IF(P14="Tidak Sesuai",0,IF(AND(N14="Ya",O14="Ya",P14="Sesuai"),1,0.5)))))</f>
        <v/>
      </c>
      <c r="S14" s="30">
        <f>IF(L14="N/A","N/A",IF(R14="","Belum dinilai",IF(R14=1,"Memenuhi",IF(R14=0,"Tidak Memenuhi","Memenuhi Sebagian"))))</f>
        <v/>
      </c>
      <c r="T14" s="31" t="inlineStr">
        <is>
          <t>1.1-1</t>
        </is>
      </c>
      <c r="U14" s="77" t="n"/>
    </row>
    <row r="15" ht="27" customHeight="1">
      <c r="A15" s="77" t="n"/>
      <c r="B15" s="77" t="n"/>
      <c r="C15" s="77" t="n"/>
      <c r="D15" s="77" t="n"/>
      <c r="E15" s="33" t="inlineStr">
        <is>
          <t>C</t>
        </is>
      </c>
      <c r="F15" s="79" t="n"/>
      <c r="G15" s="79" t="n"/>
      <c r="H15" s="79" t="n"/>
      <c r="I15" s="28" t="n">
        <v>3</v>
      </c>
      <c r="J15" s="62" t="inlineStr">
        <is>
          <t>Bukti pembinaan/penegakan disiplin, jika ada</t>
        </is>
      </c>
      <c r="K15" s="78" t="inlineStr"/>
      <c r="L15" s="29" t="n"/>
      <c r="M15" s="10" t="n"/>
      <c r="N15" s="29" t="n"/>
      <c r="O15" s="29" t="n"/>
      <c r="P15" s="29" t="n"/>
      <c r="Q15" s="10" t="n"/>
      <c r="R15" s="30">
        <f>IF(OR(L15="",L15="N/A"),"",IF(L15="Tidak Ada",0,IF(P15="","",IF(P15="Tidak Sesuai",0,IF(AND(N15="Ya",O15="Ya",P15="Sesuai"),1,0.5)))))</f>
        <v/>
      </c>
      <c r="S15" s="30">
        <f>IF(L15="N/A","N/A",IF(R15="","Belum dinilai",IF(R15=1,"Memenuhi",IF(R15=0,"Tidak Memenuhi","Memenuhi Sebagian"))))</f>
        <v/>
      </c>
      <c r="T15" s="31" t="inlineStr">
        <is>
          <t>1.1-1</t>
        </is>
      </c>
      <c r="U15" s="79" t="n"/>
    </row>
    <row r="16" ht="27" customHeight="1">
      <c r="A16" s="77" t="n"/>
      <c r="B16" s="77" t="n"/>
      <c r="C16" s="77" t="n"/>
      <c r="D16" s="77" t="n"/>
      <c r="E16" s="34" t="inlineStr">
        <is>
          <t>D</t>
        </is>
      </c>
      <c r="F16" s="62" t="inlineStr">
        <is>
          <t>D – Komunikasi &amp; Pemahaman</t>
        </is>
      </c>
      <c r="G16" s="62" t="inlineStr">
        <is>
          <t>Kebijakan penegakan integritas dan nilai etika organisasi telah dipahami oleh seluruh pegawai</t>
        </is>
      </c>
      <c r="H16" s="62" t="inlineStr">
        <is>
          <t>Kebijakan integritas dan nilai etika telah dikomunikasikan dan dipahami oleh pegawai</t>
        </is>
      </c>
      <c r="I16" s="28" t="n">
        <v>1</v>
      </c>
      <c r="J16" s="62" t="inlineStr">
        <is>
          <t>Daftar hadir sosialisasi</t>
        </is>
      </c>
      <c r="K16" s="78" t="inlineStr"/>
      <c r="L16" s="29" t="n"/>
      <c r="M16" s="10" t="n"/>
      <c r="N16" s="29" t="n"/>
      <c r="O16" s="29" t="n"/>
      <c r="P16" s="29" t="n"/>
      <c r="Q16" s="10" t="n"/>
      <c r="R16" s="30">
        <f>IF(OR(L16="",L16="N/A"),"",IF(L16="Tidak Ada",0,IF(P16="","",IF(P16="Tidak Sesuai",0,IF(AND(N16="Ya",O16="Ya",P16="Sesuai"),1,0.5)))))</f>
        <v/>
      </c>
      <c r="S16" s="30">
        <f>IF(L16="N/A","N/A",IF(R16="","Belum dinilai",IF(R16=1,"Memenuhi",IF(R16=0,"Tidak Memenuhi","Memenuhi Sebagian"))))</f>
        <v/>
      </c>
      <c r="T16" s="31" t="inlineStr">
        <is>
          <t>1.1-1</t>
        </is>
      </c>
      <c r="U16" s="63">
        <f>IF(COUNT(R16:R18)=0,"",SUM(R16:R18)/COUNT(R16:R18))</f>
        <v/>
      </c>
    </row>
    <row r="17" ht="27" customFormat="1" customHeight="1" s="68">
      <c r="A17" s="77" t="n"/>
      <c r="B17" s="77" t="n"/>
      <c r="C17" s="77" t="n"/>
      <c r="D17" s="77" t="n"/>
      <c r="E17" s="34" t="inlineStr">
        <is>
          <t>D</t>
        </is>
      </c>
      <c r="F17" s="77" t="n"/>
      <c r="G17" s="77" t="n"/>
      <c r="H17" s="77" t="n"/>
      <c r="I17" s="28" t="n">
        <v>2</v>
      </c>
      <c r="J17" s="37" t="inlineStr">
        <is>
          <t>Materi sosialisasi</t>
        </is>
      </c>
      <c r="K17" s="78" t="inlineStr"/>
      <c r="L17" s="29" t="inlineStr">
        <is>
          <t>Ada</t>
        </is>
      </c>
      <c r="M17" s="67" t="inlineStr">
        <is>
          <t>Materi Presensi Aplikasi SIAP</t>
        </is>
      </c>
      <c r="N17" s="29" t="inlineStr">
        <is>
          <t>Ya</t>
        </is>
      </c>
      <c r="O17" s="29" t="inlineStr">
        <is>
          <t>Ya</t>
        </is>
      </c>
      <c r="P17" s="29" t="inlineStr">
        <is>
          <t>Sesuai</t>
        </is>
      </c>
      <c r="Q17" s="67" t="n"/>
      <c r="R17" s="30">
        <f>IF(OR(L17="",L17="N/A"),"",IF(L17="Tidak Ada",0,IF(P17="","",IF(P17="Tidak Sesuai",0,IF(AND(N17="Ya",O17="Ya",P17="Sesuai"),1,0.5)))))</f>
        <v/>
      </c>
      <c r="S17" s="30">
        <f>IF(L17="N/A","N/A",IF(R17="","Belum dinilai",IF(R17=1,"Memenuhi",IF(R17=0,"Tidak Memenuhi","Memenuhi Sebagian"))))</f>
        <v/>
      </c>
      <c r="T17" s="31" t="inlineStr">
        <is>
          <t>1.1-1</t>
        </is>
      </c>
      <c r="U17" s="77" t="n"/>
    </row>
    <row r="18" ht="27" customFormat="1" customHeight="1" s="68">
      <c r="A18" s="77" t="n"/>
      <c r="B18" s="77" t="n"/>
      <c r="C18" s="77" t="n"/>
      <c r="D18" s="77" t="n"/>
      <c r="E18" s="34" t="inlineStr">
        <is>
          <t>D</t>
        </is>
      </c>
      <c r="F18" s="79" t="n"/>
      <c r="G18" s="79" t="n"/>
      <c r="H18" s="79" t="n"/>
      <c r="I18" s="28" t="n">
        <v>3</v>
      </c>
      <c r="J18" s="37" t="inlineStr">
        <is>
          <t>Notulen/berita acara sosialisasi</t>
        </is>
      </c>
      <c r="K18" s="78" t="inlineStr"/>
      <c r="L18" s="29" t="n"/>
      <c r="M18" s="67" t="n"/>
      <c r="N18" s="29" t="n"/>
      <c r="O18" s="29" t="n"/>
      <c r="P18" s="29" t="n"/>
      <c r="Q18" s="67" t="n"/>
      <c r="R18" s="30">
        <f>IF(OR(L18="",L18="N/A"),"",IF(L18="Tidak Ada",0,IF(P18="","",IF(P18="Tidak Sesuai",0,IF(AND(N18="Ya",O18="Ya",P18="Sesuai"),1,0.5)))))</f>
        <v/>
      </c>
      <c r="S18" s="30">
        <f>IF(L18="N/A","N/A",IF(R18="","Belum dinilai",IF(R18=1,"Memenuhi",IF(R18=0,"Tidak Memenuhi","Memenuhi Sebagian"))))</f>
        <v/>
      </c>
      <c r="T18" s="31" t="inlineStr">
        <is>
          <t>1.1-1</t>
        </is>
      </c>
      <c r="U18" s="79" t="n"/>
    </row>
    <row r="19" ht="27" customFormat="1" customHeight="1" s="68">
      <c r="A19" s="77" t="n"/>
      <c r="B19" s="77" t="n"/>
      <c r="C19" s="77" t="n"/>
      <c r="D19" s="77" t="n"/>
      <c r="E19" s="35" t="inlineStr">
        <is>
          <t>E</t>
        </is>
      </c>
      <c r="F19" s="62" t="inlineStr">
        <is>
          <t>E – Kebijakan/Formalitas</t>
        </is>
      </c>
      <c r="G19" s="62" t="inlineStr">
        <is>
          <t>Terdapat kebijakan penegakan integritas dan nilai etika untuk seluruh pegawai dalam organisasi</t>
        </is>
      </c>
      <c r="H19" s="62" t="inlineStr">
        <is>
          <t>Organisasi telah memiliki kebijakan/aturan mengenai integritas dan nilai etika</t>
        </is>
      </c>
      <c r="I19" s="28" t="n">
        <v>1</v>
      </c>
      <c r="J19" s="37" t="inlineStr">
        <is>
          <t>Kode Etik/Kode Perilaku</t>
        </is>
      </c>
      <c r="K19" s="78" t="inlineStr"/>
      <c r="L19" s="29" t="inlineStr">
        <is>
          <t>Ada</t>
        </is>
      </c>
      <c r="M19" s="67" t="inlineStr">
        <is>
          <t>Perbub No 30 tahun 2018, SK Inspektur 211 Tahun 2018</t>
        </is>
      </c>
      <c r="N19" s="29" t="inlineStr">
        <is>
          <t>Ya</t>
        </is>
      </c>
      <c r="O19" s="29" t="inlineStr">
        <is>
          <t>Ya</t>
        </is>
      </c>
      <c r="P19" s="29" t="inlineStr">
        <is>
          <t>Sesuai</t>
        </is>
      </c>
      <c r="Q19" s="67" t="n"/>
      <c r="R19" s="30">
        <f>IF(OR(L19="",L19="N/A"),"",IF(L19="Tidak Ada",0,IF(P19="","",IF(P19="Tidak Sesuai",0,IF(AND(N19="Ya",O19="Ya",P19="Sesuai"),1,0.5)))))</f>
        <v/>
      </c>
      <c r="S19" s="30">
        <f>IF(L19="N/A","N/A",IF(R19="","Belum dinilai",IF(R19=1,"Memenuhi",IF(R19=0,"Tidak Memenuhi","Memenuhi Sebagian"))))</f>
        <v/>
      </c>
      <c r="T19" s="31" t="inlineStr">
        <is>
          <t>1.1-1</t>
        </is>
      </c>
      <c r="U19" s="63">
        <f>IF(COUNT(R19:R21)=0,"",SUM(R19:R21)/COUNT(R19:R21))</f>
        <v/>
      </c>
    </row>
    <row r="20" ht="27" customHeight="1">
      <c r="A20" s="77" t="n"/>
      <c r="B20" s="77" t="n"/>
      <c r="C20" s="77" t="n"/>
      <c r="D20" s="77" t="n"/>
      <c r="E20" s="35" t="inlineStr">
        <is>
          <t>E</t>
        </is>
      </c>
      <c r="F20" s="77" t="n"/>
      <c r="G20" s="77" t="n"/>
      <c r="H20" s="77" t="n"/>
      <c r="I20" s="28" t="n">
        <v>2</v>
      </c>
      <c r="J20" s="37" t="inlineStr">
        <is>
          <t>Pakta Integritas</t>
        </is>
      </c>
      <c r="K20" s="78" t="inlineStr"/>
      <c r="L20" s="29" t="n"/>
      <c r="M20" s="10" t="n"/>
      <c r="N20" s="29" t="n"/>
      <c r="O20" s="29" t="n"/>
      <c r="P20" s="29" t="n"/>
      <c r="Q20" s="10" t="n"/>
      <c r="R20" s="30">
        <f>IF(OR(L20="",L20="N/A"),"",IF(L20="Tidak Ada",0,IF(P20="","",IF(P20="Tidak Sesuai",0,IF(AND(N20="Ya",O20="Ya",P20="Sesuai"),1,0.5)))))</f>
        <v/>
      </c>
      <c r="S20" s="30">
        <f>IF(L20="N/A","N/A",IF(R20="","Belum dinilai",IF(R20=1,"Memenuhi",IF(R20=0,"Tidak Memenuhi","Memenuhi Sebagian"))))</f>
        <v/>
      </c>
      <c r="T20" s="31" t="inlineStr">
        <is>
          <t>1.1-1</t>
        </is>
      </c>
      <c r="U20" s="77" t="n"/>
    </row>
    <row r="21" ht="27" customHeight="1">
      <c r="A21" s="79" t="n"/>
      <c r="B21" s="79" t="n"/>
      <c r="C21" s="79" t="n"/>
      <c r="D21" s="79" t="n"/>
      <c r="E21" s="35" t="inlineStr">
        <is>
          <t>E</t>
        </is>
      </c>
      <c r="F21" s="79" t="n"/>
      <c r="G21" s="79" t="n"/>
      <c r="H21" s="79" t="n"/>
      <c r="I21" s="28" t="n">
        <v>3</v>
      </c>
      <c r="J21" s="62" t="inlineStr">
        <is>
          <t>Surat Edaran/Instruksi Kepala OPD tentang integritas</t>
        </is>
      </c>
      <c r="K21" s="78" t="inlineStr"/>
      <c r="L21" s="29" t="n"/>
      <c r="M21" s="10" t="n"/>
      <c r="N21" s="29" t="n"/>
      <c r="O21" s="29" t="n"/>
      <c r="P21" s="29" t="n"/>
      <c r="Q21" s="10" t="n"/>
      <c r="R21" s="30">
        <f>IF(OR(L21="",L21="N/A"),"",IF(L21="Tidak Ada",0,IF(P21="","",IF(P21="Tidak Sesuai",0,IF(AND(N21="Ya",O21="Ya",P21="Sesuai"),1,0.5)))))</f>
        <v/>
      </c>
      <c r="S21" s="30">
        <f>IF(L21="N/A","N/A",IF(R21="","Belum dinilai",IF(R21=1,"Memenuhi",IF(R21=0,"Tidak Memenuhi","Memenuhi Sebagian"))))</f>
        <v/>
      </c>
      <c r="T21" s="31" t="inlineStr">
        <is>
          <t>1.1-1</t>
        </is>
      </c>
      <c r="U21" s="79" t="n"/>
    </row>
    <row r="22" ht="27" customHeight="1">
      <c r="A22" s="56" t="inlineStr">
        <is>
          <t>1.2</t>
        </is>
      </c>
      <c r="B22" s="57" t="inlineStr">
        <is>
          <t>Komitmen terhadap Kompetensi</t>
        </is>
      </c>
      <c r="C22" s="58" t="n">
        <v>1</v>
      </c>
      <c r="D22" s="59" t="inlineStr">
        <is>
          <t>Tugas dan jabatan dalam organisasi dilaksanakan dan diisi oleh SDM yang kompeten</t>
        </is>
      </c>
      <c r="E22" s="21" t="inlineStr">
        <is>
          <t>A</t>
        </is>
      </c>
      <c r="F22" s="60" t="inlineStr">
        <is>
          <t>A – Perbaikan Berkelanjutan</t>
        </is>
      </c>
      <c r="G22" s="60" t="inlineStr">
        <is>
          <t>Pengelolaan kompetensi SDM telah diperbaiki secara berkelanjutan dan secara optimal mampu mendukung pencapaian tujuan organisasi</t>
        </is>
      </c>
      <c r="H22" s="60" t="inlineStr">
        <is>
          <t>Pengelolaan kompetensi SDM telah diperbaiki secara berkelanjutan dan secara optimal mampu mendukung pencapaian tujuan organisasi</t>
        </is>
      </c>
      <c r="I22" s="22" t="n">
        <v>1</v>
      </c>
      <c r="J22" s="60" t="inlineStr">
        <is>
          <t>Laporan Evaluasi/Pemetaan Kompetensi Pegawai Tahun Berjalan</t>
        </is>
      </c>
      <c r="K22" s="76" t="inlineStr"/>
      <c r="L22" s="23" t="n"/>
      <c r="M22" s="24" t="n"/>
      <c r="N22" s="23" t="n"/>
      <c r="O22" s="23" t="n"/>
      <c r="P22" s="23" t="n"/>
      <c r="Q22" s="24" t="n"/>
      <c r="R22" s="25">
        <f>IF(OR(L22="",L22="N/A"),"",IF(L22="Tidak Ada",0,IF(P22="","",IF(P22="Tidak Sesuai",0,IF(AND(N22="Ya",O22="Ya",P22="Sesuai"),1,0.5)))))</f>
        <v/>
      </c>
      <c r="S22" s="25">
        <f>IF(L22="N/A","N/A",IF(R22="","Belum dinilai",IF(R22=1,"Memenuhi",IF(R22=0,"Tidak Memenuhi","Memenuhi Sebagian"))))</f>
        <v/>
      </c>
      <c r="T22" s="26" t="inlineStr">
        <is>
          <t>1.2-1</t>
        </is>
      </c>
      <c r="U22" s="61">
        <f>IF(COUNT(R22:R24)=0,"",SUM(R22:R24)/COUNT(R22:R24))</f>
        <v/>
      </c>
    </row>
    <row r="23" ht="27" customHeight="1">
      <c r="A23" s="77" t="n"/>
      <c r="B23" s="77" t="n"/>
      <c r="C23" s="77" t="n"/>
      <c r="D23" s="77" t="n"/>
      <c r="E23" s="27" t="inlineStr">
        <is>
          <t>A</t>
        </is>
      </c>
      <c r="F23" s="77" t="n"/>
      <c r="G23" s="77" t="n"/>
      <c r="H23" s="77" t="n"/>
      <c r="I23" s="28" t="n">
        <v>2</v>
      </c>
      <c r="J23" s="62" t="inlineStr">
        <is>
          <t>Laporan Tindak Lanjut Pengembangan Kompetensi ASN</t>
        </is>
      </c>
      <c r="K23" s="78" t="inlineStr"/>
      <c r="L23" s="29" t="n"/>
      <c r="M23" s="10" t="n"/>
      <c r="N23" s="29" t="n"/>
      <c r="O23" s="29" t="n"/>
      <c r="P23" s="29" t="n"/>
      <c r="Q23" s="10" t="n"/>
      <c r="R23" s="30">
        <f>IF(OR(L23="",L23="N/A"),"",IF(L23="Tidak Ada",0,IF(P23="","",IF(P23="Tidak Sesuai",0,IF(AND(N23="Ya",O23="Ya",P23="Sesuai"),1,0.5)))))</f>
        <v/>
      </c>
      <c r="S23" s="30">
        <f>IF(L23="N/A","N/A",IF(R23="","Belum dinilai",IF(R23=1,"Memenuhi",IF(R23=0,"Tidak Memenuhi","Memenuhi Sebagian"))))</f>
        <v/>
      </c>
      <c r="T23" s="31" t="inlineStr">
        <is>
          <t>1.2-1</t>
        </is>
      </c>
      <c r="U23" s="77" t="n"/>
    </row>
    <row r="24" ht="27" customHeight="1">
      <c r="A24" s="77" t="n"/>
      <c r="B24" s="77" t="n"/>
      <c r="C24" s="77" t="n"/>
      <c r="D24" s="77" t="n"/>
      <c r="E24" s="27" t="inlineStr">
        <is>
          <t>A</t>
        </is>
      </c>
      <c r="F24" s="79" t="n"/>
      <c r="G24" s="79" t="n"/>
      <c r="H24" s="79" t="n"/>
      <c r="I24" s="28" t="n">
        <v>3</v>
      </c>
      <c r="J24" s="62" t="inlineStr">
        <is>
          <t>Dokumen Pemutakhiran Standar Kompetensi Jabatan</t>
        </is>
      </c>
      <c r="K24" s="78" t="inlineStr"/>
      <c r="L24" s="29" t="n"/>
      <c r="M24" s="10" t="n"/>
      <c r="N24" s="29" t="n"/>
      <c r="O24" s="29" t="n"/>
      <c r="P24" s="29" t="n"/>
      <c r="Q24" s="10" t="n"/>
      <c r="R24" s="30">
        <f>IF(OR(L24="",L24="N/A"),"",IF(L24="Tidak Ada",0,IF(P24="","",IF(P24="Tidak Sesuai",0,IF(AND(N24="Ya",O24="Ya",P24="Sesuai"),1,0.5)))))</f>
        <v/>
      </c>
      <c r="S24" s="30">
        <f>IF(L24="N/A","N/A",IF(R24="","Belum dinilai",IF(R24=1,"Memenuhi",IF(R24=0,"Tidak Memenuhi","Memenuhi Sebagian"))))</f>
        <v/>
      </c>
      <c r="T24" s="31" t="inlineStr">
        <is>
          <t>1.2-1</t>
        </is>
      </c>
      <c r="U24" s="79" t="n"/>
    </row>
    <row r="25" ht="27" customHeight="1">
      <c r="A25" s="77" t="n"/>
      <c r="B25" s="77" t="n"/>
      <c r="C25" s="77" t="n"/>
      <c r="D25" s="77" t="n"/>
      <c r="E25" s="32" t="inlineStr">
        <is>
          <t>B</t>
        </is>
      </c>
      <c r="F25" s="62" t="inlineStr">
        <is>
          <t>B – Evaluasi &amp; Tindak Lanjut</t>
        </is>
      </c>
      <c r="G25" s="62" t="inlineStr">
        <is>
          <t>Standar kompetensi organisasi dan implementasi/pemanfaatannya telah dievaluasi untuk mengetahui efektivitasnya</t>
        </is>
      </c>
      <c r="H25" s="62" t="inlineStr">
        <is>
          <t>Standar kompetensi organisasi dan implementasi/pemanfaatannya telah dievaluasi untuk mengetahui efektivitasnya</t>
        </is>
      </c>
      <c r="I25" s="28" t="n">
        <v>1</v>
      </c>
      <c r="J25" s="62" t="inlineStr">
        <is>
          <t>Laporan Evaluasi Penerapan Standar Kompetensi Jabatan</t>
        </is>
      </c>
      <c r="K25" s="78" t="inlineStr"/>
      <c r="L25" s="29" t="n"/>
      <c r="M25" s="10" t="n"/>
      <c r="N25" s="29" t="n"/>
      <c r="O25" s="29" t="n"/>
      <c r="P25" s="29" t="n"/>
      <c r="Q25" s="10" t="n"/>
      <c r="R25" s="30">
        <f>IF(OR(L25="",L25="N/A"),"",IF(L25="Tidak Ada",0,IF(P25="","",IF(P25="Tidak Sesuai",0,IF(AND(N25="Ya",O25="Ya",P25="Sesuai"),1,0.5)))))</f>
        <v/>
      </c>
      <c r="S25" s="30">
        <f>IF(L25="N/A","N/A",IF(R25="","Belum dinilai",IF(R25=1,"Memenuhi",IF(R25=0,"Tidak Memenuhi","Memenuhi Sebagian"))))</f>
        <v/>
      </c>
      <c r="T25" s="31" t="inlineStr">
        <is>
          <t>1.2-1</t>
        </is>
      </c>
      <c r="U25" s="63">
        <f>IF(COUNT(R25:R27)=0,"",SUM(R25:R27)/COUNT(R25:R27))</f>
        <v/>
      </c>
    </row>
    <row r="26" ht="39" customHeight="1">
      <c r="A26" s="77" t="n"/>
      <c r="B26" s="77" t="n"/>
      <c r="C26" s="77" t="n"/>
      <c r="D26" s="77" t="n"/>
      <c r="E26" s="32" t="inlineStr">
        <is>
          <t>B</t>
        </is>
      </c>
      <c r="F26" s="77" t="n"/>
      <c r="G26" s="77" t="n"/>
      <c r="H26" s="77" t="n"/>
      <c r="I26" s="28" t="n">
        <v>2</v>
      </c>
      <c r="J26" s="62" t="inlineStr">
        <is>
          <t>Laporan Hasil Monitoring Kesesuaian Kompetensi Pegawai dengan Jabatan</t>
        </is>
      </c>
      <c r="K26" s="78" t="inlineStr"/>
      <c r="L26" s="29" t="n"/>
      <c r="M26" s="10" t="n"/>
      <c r="N26" s="29" t="n"/>
      <c r="O26" s="29" t="n"/>
      <c r="P26" s="29" t="n"/>
      <c r="Q26" s="10" t="n"/>
      <c r="R26" s="30">
        <f>IF(OR(L26="",L26="N/A"),"",IF(L26="Tidak Ada",0,IF(P26="","",IF(P26="Tidak Sesuai",0,IF(AND(N26="Ya",O26="Ya",P26="Sesuai"),1,0.5)))))</f>
        <v/>
      </c>
      <c r="S26" s="30">
        <f>IF(L26="N/A","N/A",IF(R26="","Belum dinilai",IF(R26=1,"Memenuhi",IF(R26=0,"Tidak Memenuhi","Memenuhi Sebagian"))))</f>
        <v/>
      </c>
      <c r="T26" s="31" t="inlineStr">
        <is>
          <t>1.2-1</t>
        </is>
      </c>
      <c r="U26" s="77" t="n"/>
    </row>
    <row r="27" ht="27" customHeight="1">
      <c r="A27" s="77" t="n"/>
      <c r="B27" s="77" t="n"/>
      <c r="C27" s="77" t="n"/>
      <c r="D27" s="77" t="n"/>
      <c r="E27" s="32" t="inlineStr">
        <is>
          <t>B</t>
        </is>
      </c>
      <c r="F27" s="79" t="n"/>
      <c r="G27" s="79" t="n"/>
      <c r="H27" s="79" t="n"/>
      <c r="I27" s="28" t="n">
        <v>3</v>
      </c>
      <c r="J27" s="62" t="inlineStr">
        <is>
          <t>Matriks Tindak Lanjut Hasil Evaluasi</t>
        </is>
      </c>
      <c r="K27" s="78" t="inlineStr"/>
      <c r="L27" s="29" t="n"/>
      <c r="M27" s="10" t="n"/>
      <c r="N27" s="29" t="n"/>
      <c r="O27" s="29" t="n"/>
      <c r="P27" s="29" t="n"/>
      <c r="Q27" s="10" t="n"/>
      <c r="R27" s="30">
        <f>IF(OR(L27="",L27="N/A"),"",IF(L27="Tidak Ada",0,IF(P27="","",IF(P27="Tidak Sesuai",0,IF(AND(N27="Ya",O27="Ya",P27="Sesuai"),1,0.5)))))</f>
        <v/>
      </c>
      <c r="S27" s="30">
        <f>IF(L27="N/A","N/A",IF(R27="","Belum dinilai",IF(R27=1,"Memenuhi",IF(R27=0,"Tidak Memenuhi","Memenuhi Sebagian"))))</f>
        <v/>
      </c>
      <c r="T27" s="31" t="inlineStr">
        <is>
          <t>1.2-1</t>
        </is>
      </c>
      <c r="U27" s="79" t="n"/>
    </row>
    <row r="28" ht="27" customHeight="1">
      <c r="A28" s="77" t="n"/>
      <c r="B28" s="77" t="n"/>
      <c r="C28" s="77" t="n"/>
      <c r="D28" s="77" t="n"/>
      <c r="E28" s="33" t="inlineStr">
        <is>
          <t>C</t>
        </is>
      </c>
      <c r="F28" s="62" t="inlineStr">
        <is>
          <t>C – Implementasi</t>
        </is>
      </c>
      <c r="G28" s="62" t="inlineStr">
        <is>
          <t>Standar kompetensi telah diimplementasikan/dimanfaatkan dalam pengelolaan/pembinaan SDM organisasi</t>
        </is>
      </c>
      <c r="H28" s="62" t="inlineStr">
        <is>
          <t>Standar kompetensi telah diimplementasikan/dimanfaatkan dalam pengelolaan/pembinaan SDM organisasi</t>
        </is>
      </c>
      <c r="I28" s="69" t="n">
        <v>1</v>
      </c>
      <c r="J28" s="62" t="inlineStr">
        <is>
          <t>Matriks Pemetaan Kompetensi Pegawai</t>
        </is>
      </c>
      <c r="K28" s="78" t="inlineStr"/>
      <c r="L28" s="70" t="inlineStr">
        <is>
          <t>Ada</t>
        </is>
      </c>
      <c r="M28" s="10" t="inlineStr">
        <is>
          <t>Matrik rencana usulan Diklat Substantif Tahun 2026</t>
        </is>
      </c>
      <c r="N28" s="29" t="inlineStr">
        <is>
          <t>Ya</t>
        </is>
      </c>
      <c r="O28" s="29" t="inlineStr">
        <is>
          <t>Ya</t>
        </is>
      </c>
      <c r="P28" s="29" t="inlineStr">
        <is>
          <t>Sesuai</t>
        </is>
      </c>
      <c r="Q28" s="10" t="n"/>
      <c r="R28" s="30">
        <f>IF(OR(L28="",L28="N/A"),"",IF(L28="Tidak Ada",0,IF(P28="","",IF(P28="Tidak Sesuai",0,IF(AND(N28="Ya",O28="Ya",P28="Sesuai"),1,0.5)))))</f>
        <v/>
      </c>
      <c r="S28" s="30">
        <f>IF(L28="N/A","N/A",IF(R28="","Belum dinilai",IF(R28=1,"Memenuhi",IF(R28=0,"Tidak Memenuhi","Memenuhi Sebagian"))))</f>
        <v/>
      </c>
      <c r="T28" s="31" t="inlineStr">
        <is>
          <t>1.2-1</t>
        </is>
      </c>
      <c r="U28" s="63">
        <f>IF(COUNT(R28:R30)=0,"",SUM(R28:R30)/COUNT(R28:R30))</f>
        <v/>
      </c>
    </row>
    <row r="29" ht="27" customHeight="1">
      <c r="A29" s="77" t="n"/>
      <c r="B29" s="77" t="n"/>
      <c r="C29" s="77" t="n"/>
      <c r="D29" s="77" t="n"/>
      <c r="E29" s="33" t="inlineStr">
        <is>
          <t>C</t>
        </is>
      </c>
      <c r="F29" s="77" t="n"/>
      <c r="G29" s="77" t="n"/>
      <c r="H29" s="77" t="n"/>
      <c r="I29" s="69" t="n">
        <v>2</v>
      </c>
      <c r="J29" s="62" t="inlineStr">
        <is>
          <t>Analisis Kesenjangan Kompetensi</t>
        </is>
      </c>
      <c r="K29" s="78" t="inlineStr"/>
      <c r="L29" s="29" t="n"/>
      <c r="M29" s="10" t="n"/>
      <c r="N29" s="29" t="n"/>
      <c r="O29" s="29" t="n"/>
      <c r="P29" s="29" t="n"/>
      <c r="Q29" s="10" t="n"/>
      <c r="R29" s="30">
        <f>IF(OR(L29="",L29="N/A"),"",IF(L29="Tidak Ada",0,IF(P29="","",IF(P29="Tidak Sesuai",0,IF(AND(N29="Ya",O29="Ya",P29="Sesuai"),1,0.5)))))</f>
        <v/>
      </c>
      <c r="S29" s="30">
        <f>IF(L29="N/A","N/A",IF(R29="","Belum dinilai",IF(R29=1,"Memenuhi",IF(R29=0,"Tidak Memenuhi","Memenuhi Sebagian"))))</f>
        <v/>
      </c>
      <c r="T29" s="31" t="inlineStr">
        <is>
          <t>1.2-1</t>
        </is>
      </c>
      <c r="U29" s="77" t="n"/>
    </row>
    <row r="30" ht="27" customHeight="1">
      <c r="A30" s="77" t="n"/>
      <c r="B30" s="77" t="n"/>
      <c r="C30" s="77" t="n"/>
      <c r="D30" s="77" t="n"/>
      <c r="E30" s="33" t="inlineStr">
        <is>
          <t>C</t>
        </is>
      </c>
      <c r="F30" s="79" t="n"/>
      <c r="G30" s="79" t="n"/>
      <c r="H30" s="79" t="n"/>
      <c r="I30" s="69" t="n">
        <v>3</v>
      </c>
      <c r="J30" s="62" t="inlineStr">
        <is>
          <t>Rencana Pengembangan Kompetensi ASN</t>
        </is>
      </c>
      <c r="K30" s="78" t="inlineStr"/>
      <c r="L30" s="29" t="n"/>
      <c r="M30" s="10" t="n"/>
      <c r="N30" s="29" t="n"/>
      <c r="O30" s="29" t="n"/>
      <c r="P30" s="29" t="n"/>
      <c r="Q30" s="10" t="n"/>
      <c r="R30" s="30">
        <f>IF(OR(L30="",L30="N/A"),"",IF(L30="Tidak Ada",0,IF(P30="","",IF(P30="Tidak Sesuai",0,IF(AND(N30="Ya",O30="Ya",P30="Sesuai"),1,0.5)))))</f>
        <v/>
      </c>
      <c r="S30" s="30">
        <f>IF(L30="N/A","N/A",IF(R30="","Belum dinilai",IF(R30=1,"Memenuhi",IF(R30=0,"Tidak Memenuhi","Memenuhi Sebagian"))))</f>
        <v/>
      </c>
      <c r="T30" s="31" t="inlineStr">
        <is>
          <t>1.2-1</t>
        </is>
      </c>
      <c r="U30" s="79" t="n"/>
    </row>
    <row r="31" ht="27" customHeight="1">
      <c r="A31" s="77" t="n"/>
      <c r="B31" s="77" t="n"/>
      <c r="C31" s="77" t="n"/>
      <c r="D31" s="77" t="n"/>
      <c r="E31" s="34" t="inlineStr">
        <is>
          <t>D</t>
        </is>
      </c>
      <c r="F31" s="62" t="inlineStr">
        <is>
          <t>D – Komunikasi &amp; Pemahaman</t>
        </is>
      </c>
      <c r="G31" s="62" t="inlineStr">
        <is>
          <t>Standar kompetensi telah dikomunikasikan dan dipahami oleh seluruh pegawai organisasi</t>
        </is>
      </c>
      <c r="H31" s="62" t="inlineStr">
        <is>
          <t>Standar kompetensi telah dikomunikasikan dan dipahami oleh seluruh pegawai organisasi</t>
        </is>
      </c>
      <c r="I31" s="28" t="n">
        <v>1</v>
      </c>
      <c r="J31" s="62" t="inlineStr">
        <is>
          <t>Standar Kompetensi Jabatan</t>
        </is>
      </c>
      <c r="K31" s="78" t="inlineStr"/>
      <c r="L31" s="29" t="n"/>
      <c r="M31" s="10" t="n"/>
      <c r="N31" s="29" t="n"/>
      <c r="O31" s="29" t="n"/>
      <c r="P31" s="29" t="n"/>
      <c r="Q31" s="10" t="n"/>
      <c r="R31" s="30">
        <f>IF(OR(L31="",L31="N/A"),"",IF(L31="Tidak Ada",0,IF(P31="","",IF(P31="Tidak Sesuai",0,IF(AND(N31="Ya",O31="Ya",P31="Sesuai"),1,0.5)))))</f>
        <v/>
      </c>
      <c r="S31" s="30">
        <f>IF(L31="N/A","N/A",IF(R31="","Belum dinilai",IF(R31=1,"Memenuhi",IF(R31=0,"Tidak Memenuhi","Memenuhi Sebagian"))))</f>
        <v/>
      </c>
      <c r="T31" s="31" t="inlineStr">
        <is>
          <t>1.2-1</t>
        </is>
      </c>
      <c r="U31" s="63">
        <f>IF(COUNT(R31:R33)=0,"",SUM(R31:R33)/COUNT(R31:R33))</f>
        <v/>
      </c>
    </row>
    <row r="32" ht="27" customHeight="1">
      <c r="A32" s="77" t="n"/>
      <c r="B32" s="77" t="n"/>
      <c r="C32" s="77" t="n"/>
      <c r="D32" s="77" t="n"/>
      <c r="E32" s="34" t="inlineStr">
        <is>
          <t>D</t>
        </is>
      </c>
      <c r="F32" s="77" t="n"/>
      <c r="G32" s="77" t="n"/>
      <c r="H32" s="77" t="n"/>
      <c r="I32" s="28" t="n">
        <v>2</v>
      </c>
      <c r="J32" s="62" t="inlineStr">
        <is>
          <t>Bukti sosialisasi/penyampaian standar kompetensi</t>
        </is>
      </c>
      <c r="K32" s="78" t="inlineStr"/>
      <c r="L32" s="29" t="n"/>
      <c r="M32" s="10" t="n"/>
      <c r="N32" s="29" t="n"/>
      <c r="O32" s="29" t="n"/>
      <c r="P32" s="29" t="n"/>
      <c r="Q32" s="10" t="n"/>
      <c r="R32" s="30">
        <f>IF(OR(L32="",L32="N/A"),"",IF(L32="Tidak Ada",0,IF(P32="","",IF(P32="Tidak Sesuai",0,IF(AND(N32="Ya",O32="Ya",P32="Sesuai"),1,0.5)))))</f>
        <v/>
      </c>
      <c r="S32" s="30">
        <f>IF(L32="N/A","N/A",IF(R32="","Belum dinilai",IF(R32=1,"Memenuhi",IF(R32=0,"Tidak Memenuhi","Memenuhi Sebagian"))))</f>
        <v/>
      </c>
      <c r="T32" s="31" t="inlineStr">
        <is>
          <t>1.2-1</t>
        </is>
      </c>
      <c r="U32" s="77" t="n"/>
    </row>
    <row r="33" ht="27" customHeight="1">
      <c r="A33" s="77" t="n"/>
      <c r="B33" s="77" t="n"/>
      <c r="C33" s="77" t="n"/>
      <c r="D33" s="77" t="n"/>
      <c r="E33" s="34" t="inlineStr">
        <is>
          <t>D</t>
        </is>
      </c>
      <c r="F33" s="79" t="n"/>
      <c r="G33" s="79" t="n"/>
      <c r="H33" s="79" t="n"/>
      <c r="I33" s="28" t="n">
        <v>3</v>
      </c>
      <c r="J33" s="62" t="inlineStr">
        <is>
          <t>Daftar hadir/notulen.</t>
        </is>
      </c>
      <c r="K33" s="78" t="inlineStr"/>
      <c r="L33" s="29" t="n"/>
      <c r="M33" s="10" t="n"/>
      <c r="N33" s="29" t="n"/>
      <c r="O33" s="29" t="n"/>
      <c r="P33" s="29" t="n"/>
      <c r="Q33" s="10" t="n"/>
      <c r="R33" s="30">
        <f>IF(OR(L33="",L33="N/A"),"",IF(L33="Tidak Ada",0,IF(P33="","",IF(P33="Tidak Sesuai",0,IF(AND(N33="Ya",O33="Ya",P33="Sesuai"),1,0.5)))))</f>
        <v/>
      </c>
      <c r="S33" s="30">
        <f>IF(L33="N/A","N/A",IF(R33="","Belum dinilai",IF(R33=1,"Memenuhi",IF(R33=0,"Tidak Memenuhi","Memenuhi Sebagian"))))</f>
        <v/>
      </c>
      <c r="T33" s="31" t="inlineStr">
        <is>
          <t>1.2-1</t>
        </is>
      </c>
      <c r="U33" s="79" t="n"/>
    </row>
    <row r="34" ht="27" customHeight="1">
      <c r="A34" s="77" t="n"/>
      <c r="B34" s="77" t="n"/>
      <c r="C34" s="77" t="n"/>
      <c r="D34" s="77" t="n"/>
      <c r="E34" s="35" t="inlineStr">
        <is>
          <t>E</t>
        </is>
      </c>
      <c r="F34" s="62" t="inlineStr">
        <is>
          <t>E – Kebijakan/Formalitas</t>
        </is>
      </c>
      <c r="G34" s="62" t="inlineStr">
        <is>
          <t>Terdapat standar kompetensi yang jelas untuk seluruh jabatan dan posisi dalam organisasi</t>
        </is>
      </c>
      <c r="H34" s="62" t="inlineStr">
        <is>
          <t>Terdapat standar kompetensi yang jelas untuk seluruh jabatan dan posisi dalam organisasi</t>
        </is>
      </c>
      <c r="I34" s="28" t="n">
        <v>1</v>
      </c>
      <c r="J34" s="62" t="inlineStr">
        <is>
          <t>Standar Kompetensi Jabatan</t>
        </is>
      </c>
      <c r="K34" s="78" t="inlineStr"/>
      <c r="L34" s="29" t="n"/>
      <c r="M34" s="10" t="n"/>
      <c r="N34" s="29" t="n"/>
      <c r="O34" s="29" t="n"/>
      <c r="P34" s="29" t="n"/>
      <c r="Q34" s="10" t="n"/>
      <c r="R34" s="30">
        <f>IF(OR(L34="",L34="N/A"),"",IF(L34="Tidak Ada",0,IF(P34="","",IF(P34="Tidak Sesuai",0,IF(AND(N34="Ya",O34="Ya",P34="Sesuai"),1,0.5)))))</f>
        <v/>
      </c>
      <c r="S34" s="30">
        <f>IF(L34="N/A","N/A",IF(R34="","Belum dinilai",IF(R34=1,"Memenuhi",IF(R34=0,"Tidak Memenuhi","Memenuhi Sebagian"))))</f>
        <v/>
      </c>
      <c r="T34" s="31" t="inlineStr">
        <is>
          <t>1.2-1</t>
        </is>
      </c>
      <c r="U34" s="63">
        <f>IF(COUNT(R34:R36)=0,"",SUM(R34:R36)/COUNT(R34:R36))</f>
        <v/>
      </c>
    </row>
    <row r="35" ht="27" customHeight="1">
      <c r="A35" s="77" t="n"/>
      <c r="B35" s="77" t="n"/>
      <c r="C35" s="77" t="n"/>
      <c r="D35" s="77" t="n"/>
      <c r="E35" s="35" t="inlineStr">
        <is>
          <t>E</t>
        </is>
      </c>
      <c r="F35" s="77" t="n"/>
      <c r="G35" s="77" t="n"/>
      <c r="H35" s="77" t="n"/>
      <c r="I35" s="28" t="n">
        <v>2</v>
      </c>
      <c r="J35" s="62" t="inlineStr">
        <is>
          <t>Peta Jabatan</t>
        </is>
      </c>
      <c r="K35" s="78" t="inlineStr"/>
      <c r="L35" s="29" t="n"/>
      <c r="M35" s="10" t="n"/>
      <c r="N35" s="29" t="n"/>
      <c r="O35" s="29" t="n"/>
      <c r="P35" s="29" t="n"/>
      <c r="Q35" s="10" t="n"/>
      <c r="R35" s="30">
        <f>IF(OR(L35="",L35="N/A"),"",IF(L35="Tidak Ada",0,IF(P35="","",IF(P35="Tidak Sesuai",0,IF(AND(N35="Ya",O35="Ya",P35="Sesuai"),1,0.5)))))</f>
        <v/>
      </c>
      <c r="S35" s="30">
        <f>IF(L35="N/A","N/A",IF(R35="","Belum dinilai",IF(R35=1,"Memenuhi",IF(R35=0,"Tidak Memenuhi","Memenuhi Sebagian"))))</f>
        <v/>
      </c>
      <c r="T35" s="31" t="inlineStr">
        <is>
          <t>1.2-1</t>
        </is>
      </c>
      <c r="U35" s="77" t="n"/>
    </row>
    <row r="36" ht="27" customHeight="1">
      <c r="A36" s="79" t="n"/>
      <c r="B36" s="79" t="n"/>
      <c r="C36" s="79" t="n"/>
      <c r="D36" s="79" t="n"/>
      <c r="E36" s="35" t="inlineStr">
        <is>
          <t>E</t>
        </is>
      </c>
      <c r="F36" s="79" t="n"/>
      <c r="G36" s="79" t="n"/>
      <c r="H36" s="79" t="n"/>
      <c r="I36" s="28" t="n">
        <v>3</v>
      </c>
      <c r="J36" s="62" t="inlineStr">
        <is>
          <t>Anjab dan ABK.</t>
        </is>
      </c>
      <c r="K36" s="78" t="inlineStr"/>
      <c r="L36" s="29" t="n"/>
      <c r="M36" s="10" t="n"/>
      <c r="N36" s="29" t="n"/>
      <c r="O36" s="29" t="n"/>
      <c r="P36" s="29" t="n"/>
      <c r="Q36" s="10" t="n"/>
      <c r="R36" s="30">
        <f>IF(OR(L36="",L36="N/A"),"",IF(L36="Tidak Ada",0,IF(P36="","",IF(P36="Tidak Sesuai",0,IF(AND(N36="Ya",O36="Ya",P36="Sesuai"),1,0.5)))))</f>
        <v/>
      </c>
      <c r="S36" s="30">
        <f>IF(L36="N/A","N/A",IF(R36="","Belum dinilai",IF(R36=1,"Memenuhi",IF(R36=0,"Tidak Memenuhi","Memenuhi Sebagian"))))</f>
        <v/>
      </c>
      <c r="T36" s="31" t="inlineStr">
        <is>
          <t>1.2-1</t>
        </is>
      </c>
      <c r="U36" s="79" t="n"/>
    </row>
    <row r="37" ht="39" customHeight="1">
      <c r="A37" s="56" t="inlineStr">
        <is>
          <t>1.3</t>
        </is>
      </c>
      <c r="B37" s="57" t="inlineStr">
        <is>
          <t>Kepemimpinan yang Kondusif</t>
        </is>
      </c>
      <c r="C37" s="58" t="n">
        <v>1</v>
      </c>
      <c r="D37" s="59" t="inlineStr">
        <is>
          <t>Pimpinan K/L/D menciptakan lingkungan kerja yang kondusif untuk mendukung ketaatan terhadap peraturan yang berlaku</t>
        </is>
      </c>
      <c r="E37" s="21" t="inlineStr">
        <is>
          <t>A</t>
        </is>
      </c>
      <c r="F37" s="60" t="inlineStr">
        <is>
          <t>A – Perbaikan Berkelanjutan</t>
        </is>
      </c>
      <c r="G37" s="60" t="inlineStr">
        <is>
          <t>Penerapan manajemen kinerja, pengelolaan keuangan, manajemen SDM, serta manajemen risiko dapat meningkatkan efektivitas dan efisiensi kinerja seluruh level pimpinan dan pegawai</t>
        </is>
      </c>
      <c r="H37" s="60" t="inlineStr">
        <is>
          <t>Penerapan manajemen kinerja, pengelolaan keuangan, manajemen SDM, serta manajemen risiko dapat meningkatkan efektivitas dan efisiensi kinerja seluruh level pimpinan dan pegawai</t>
        </is>
      </c>
      <c r="I37" s="22" t="n">
        <v>1</v>
      </c>
      <c r="J37" s="60" t="inlineStr">
        <is>
          <t>Laporan Kinerja/LKjIP OPD</t>
        </is>
      </c>
      <c r="K37" s="76" t="inlineStr"/>
      <c r="L37" s="23" t="n"/>
      <c r="M37" s="24" t="n"/>
      <c r="N37" s="23" t="n"/>
      <c r="O37" s="23" t="n"/>
      <c r="P37" s="23" t="n"/>
      <c r="Q37" s="24" t="n"/>
      <c r="R37" s="25">
        <f>IF(OR(L37="",L37="N/A"),"",IF(L37="Tidak Ada",0,IF(P37="","",IF(P37="Tidak Sesuai",0,IF(AND(N37="Ya",O37="Ya",P37="Sesuai"),1,0.5)))))</f>
        <v/>
      </c>
      <c r="S37" s="25">
        <f>IF(L37="N/A","N/A",IF(R37="","Belum dinilai",IF(R37=1,"Memenuhi",IF(R37=0,"Tidak Memenuhi","Memenuhi Sebagian"))))</f>
        <v/>
      </c>
      <c r="T37" s="26" t="inlineStr">
        <is>
          <t>1.3-1</t>
        </is>
      </c>
      <c r="U37" s="61">
        <f>IF(COUNT(R37:R39)=0,"",SUM(R37:R39)/COUNT(R37:R39))</f>
        <v/>
      </c>
    </row>
    <row r="38" ht="39" customHeight="1">
      <c r="A38" s="77" t="n"/>
      <c r="B38" s="77" t="n"/>
      <c r="C38" s="77" t="n"/>
      <c r="D38" s="77" t="n"/>
      <c r="E38" s="27" t="inlineStr">
        <is>
          <t>A</t>
        </is>
      </c>
      <c r="F38" s="77" t="n"/>
      <c r="G38" s="77" t="n"/>
      <c r="H38" s="77" t="n"/>
      <c r="I38" s="28" t="n">
        <v>2</v>
      </c>
      <c r="J38" s="62" t="inlineStr">
        <is>
          <t>Laporan Evaluasi Penerapan Manajemen Kinerja, Keuangan, SDM, dan Manajemen Risiko</t>
        </is>
      </c>
      <c r="K38" s="78" t="inlineStr"/>
      <c r="L38" s="29" t="n"/>
      <c r="M38" s="10" t="n"/>
      <c r="N38" s="29" t="n"/>
      <c r="O38" s="29" t="n"/>
      <c r="P38" s="29" t="n"/>
      <c r="Q38" s="10" t="n"/>
      <c r="R38" s="30">
        <f>IF(OR(L38="",L38="N/A"),"",IF(L38="Tidak Ada",0,IF(P38="","",IF(P38="Tidak Sesuai",0,IF(AND(N38="Ya",O38="Ya",P38="Sesuai"),1,0.5)))))</f>
        <v/>
      </c>
      <c r="S38" s="30">
        <f>IF(L38="N/A","N/A",IF(R38="","Belum dinilai",IF(R38=1,"Memenuhi",IF(R38=0,"Tidak Memenuhi","Memenuhi Sebagian"))))</f>
        <v/>
      </c>
      <c r="T38" s="31" t="inlineStr">
        <is>
          <t>1.3-1</t>
        </is>
      </c>
      <c r="U38" s="77" t="n"/>
    </row>
    <row r="39" ht="39" customHeight="1">
      <c r="A39" s="77" t="n"/>
      <c r="B39" s="77" t="n"/>
      <c r="C39" s="77" t="n"/>
      <c r="D39" s="77" t="n"/>
      <c r="E39" s="27" t="inlineStr">
        <is>
          <t>A</t>
        </is>
      </c>
      <c r="F39" s="79" t="n"/>
      <c r="G39" s="79" t="n"/>
      <c r="H39" s="79" t="n"/>
      <c r="I39" s="28" t="n">
        <v>3</v>
      </c>
      <c r="J39" s="62" t="inlineStr">
        <is>
          <t>Dokumen/rekapitulasi capaian kinerja dan efisiensi</t>
        </is>
      </c>
      <c r="K39" s="78" t="inlineStr"/>
      <c r="L39" s="29" t="n"/>
      <c r="M39" s="10" t="n"/>
      <c r="N39" s="29" t="n"/>
      <c r="O39" s="29" t="n"/>
      <c r="P39" s="29" t="n"/>
      <c r="Q39" s="10" t="n"/>
      <c r="R39" s="30">
        <f>IF(OR(L39="",L39="N/A"),"",IF(L39="Tidak Ada",0,IF(P39="","",IF(P39="Tidak Sesuai",0,IF(AND(N39="Ya",O39="Ya",P39="Sesuai"),1,0.5)))))</f>
        <v/>
      </c>
      <c r="S39" s="30">
        <f>IF(L39="N/A","N/A",IF(R39="","Belum dinilai",IF(R39=1,"Memenuhi",IF(R39=0,"Tidak Memenuhi","Memenuhi Sebagian"))))</f>
        <v/>
      </c>
      <c r="T39" s="31" t="inlineStr">
        <is>
          <t>1.3-1</t>
        </is>
      </c>
      <c r="U39" s="79" t="n"/>
    </row>
    <row r="40" ht="39" customHeight="1">
      <c r="A40" s="77" t="n"/>
      <c r="B40" s="77" t="n"/>
      <c r="C40" s="77" t="n"/>
      <c r="D40" s="77" t="n"/>
      <c r="E40" s="32" t="inlineStr">
        <is>
          <t>B</t>
        </is>
      </c>
      <c r="F40" s="62" t="inlineStr">
        <is>
          <t>B – Evaluasi &amp; Tindak Lanjut</t>
        </is>
      </c>
      <c r="G40" s="62" t="inlineStr">
        <is>
          <t>Pimpinan organisasi melaksanakan evaluasi berkala atas kebijakan pengendalian intern dan berupaya mengatasi permasalahan yang berkaitan dengan lingkungan pengendalian yang kondusif</t>
        </is>
      </c>
      <c r="H40" s="62" t="inlineStr">
        <is>
          <t>Pimpinan organisasi melaksanakan evaluasi berkala atas kebijakan pengendalian intern dan berupaya mengatasi permasalahan yang berkaitan dengan lingkungan pengendalian yang kondusif</t>
        </is>
      </c>
      <c r="I40" s="28" t="n">
        <v>1</v>
      </c>
      <c r="J40" s="62" t="inlineStr">
        <is>
          <t>Laporan Evaluasi Lingkungan Pengendalian</t>
        </is>
      </c>
      <c r="K40" s="78" t="inlineStr"/>
      <c r="L40" s="29" t="n"/>
      <c r="M40" s="10" t="n"/>
      <c r="N40" s="29" t="n"/>
      <c r="O40" s="29" t="n"/>
      <c r="P40" s="29" t="n"/>
      <c r="Q40" s="10" t="n"/>
      <c r="R40" s="30">
        <f>IF(OR(L40="",L40="N/A"),"",IF(L40="Tidak Ada",0,IF(P40="","",IF(P40="Tidak Sesuai",0,IF(AND(N40="Ya",O40="Ya",P40="Sesuai"),1,0.5)))))</f>
        <v/>
      </c>
      <c r="S40" s="30">
        <f>IF(L40="N/A","N/A",IF(R40="","Belum dinilai",IF(R40=1,"Memenuhi",IF(R40=0,"Tidak Memenuhi","Memenuhi Sebagian"))))</f>
        <v/>
      </c>
      <c r="T40" s="31" t="inlineStr">
        <is>
          <t>1.3-1</t>
        </is>
      </c>
      <c r="U40" s="63">
        <f>IF(COUNT(R40:R42)=0,"",SUM(R40:R42)/COUNT(R40:R42))</f>
        <v/>
      </c>
    </row>
    <row r="41" ht="39" customHeight="1">
      <c r="A41" s="77" t="n"/>
      <c r="B41" s="77" t="n"/>
      <c r="C41" s="77" t="n"/>
      <c r="D41" s="77" t="n"/>
      <c r="E41" s="32" t="inlineStr">
        <is>
          <t>B</t>
        </is>
      </c>
      <c r="F41" s="77" t="n"/>
      <c r="G41" s="77" t="n"/>
      <c r="H41" s="77" t="n"/>
      <c r="I41" s="28" t="n">
        <v>2</v>
      </c>
      <c r="J41" s="62" t="inlineStr">
        <is>
          <t>Matriks Tindak Lanjut Hasil Evaluasi</t>
        </is>
      </c>
      <c r="K41" s="78" t="inlineStr"/>
      <c r="L41" s="29" t="n"/>
      <c r="M41" s="10" t="n"/>
      <c r="N41" s="29" t="n"/>
      <c r="O41" s="29" t="n"/>
      <c r="P41" s="29" t="n"/>
      <c r="Q41" s="10" t="n"/>
      <c r="R41" s="30">
        <f>IF(OR(L41="",L41="N/A"),"",IF(L41="Tidak Ada",0,IF(P41="","",IF(P41="Tidak Sesuai",0,IF(AND(N41="Ya",O41="Ya",P41="Sesuai"),1,0.5)))))</f>
        <v/>
      </c>
      <c r="S41" s="30">
        <f>IF(L41="N/A","N/A",IF(R41="","Belum dinilai",IF(R41=1,"Memenuhi",IF(R41=0,"Tidak Memenuhi","Memenuhi Sebagian"))))</f>
        <v/>
      </c>
      <c r="T41" s="31" t="inlineStr">
        <is>
          <t>1.3-1</t>
        </is>
      </c>
      <c r="U41" s="77" t="n"/>
    </row>
    <row r="42" ht="39" customHeight="1">
      <c r="A42" s="77" t="n"/>
      <c r="B42" s="77" t="n"/>
      <c r="C42" s="77" t="n"/>
      <c r="D42" s="77" t="n"/>
      <c r="E42" s="32" t="inlineStr">
        <is>
          <t>B</t>
        </is>
      </c>
      <c r="F42" s="79" t="n"/>
      <c r="G42" s="79" t="n"/>
      <c r="H42" s="79" t="n"/>
      <c r="I42" s="28" t="n">
        <v>3</v>
      </c>
      <c r="J42" s="62" t="inlineStr">
        <is>
          <t>Rekapitulasi Masukan/Keluhan Pegawai dan Tindak Lanjut</t>
        </is>
      </c>
      <c r="K42" s="78" t="inlineStr"/>
      <c r="L42" s="29" t="n"/>
      <c r="M42" s="10" t="n"/>
      <c r="N42" s="29" t="n"/>
      <c r="O42" s="29" t="n"/>
      <c r="P42" s="29" t="n"/>
      <c r="Q42" s="10" t="n"/>
      <c r="R42" s="30">
        <f>IF(OR(L42="",L42="N/A"),"",IF(L42="Tidak Ada",0,IF(P42="","",IF(P42="Tidak Sesuai",0,IF(AND(N42="Ya",O42="Ya",P42="Sesuai"),1,0.5)))))</f>
        <v/>
      </c>
      <c r="S42" s="30">
        <f>IF(L42="N/A","N/A",IF(R42="","Belum dinilai",IF(R42=1,"Memenuhi",IF(R42=0,"Tidak Memenuhi","Memenuhi Sebagian"))))</f>
        <v/>
      </c>
      <c r="T42" s="31" t="inlineStr">
        <is>
          <t>1.3-1</t>
        </is>
      </c>
      <c r="U42" s="79" t="n"/>
    </row>
    <row r="43" ht="27" customHeight="1">
      <c r="A43" s="77" t="n"/>
      <c r="B43" s="77" t="n"/>
      <c r="C43" s="77" t="n"/>
      <c r="D43" s="77" t="n"/>
      <c r="E43" s="33" t="inlineStr">
        <is>
          <t>C</t>
        </is>
      </c>
      <c r="F43" s="62" t="inlineStr">
        <is>
          <t>C – Implementasi</t>
        </is>
      </c>
      <c r="G43" s="62" t="inlineStr">
        <is>
          <t>Pimpinan organisasi melaksanakan kebijakan dan didukung dengan SDM yang bekerja sesuai dengan kebijakan yang ditetapkan</t>
        </is>
      </c>
      <c r="H43" s="62" t="inlineStr">
        <is>
          <t>Pimpinan organisasi melaksanakan kebijakan dan didukung dengan SDM yang bekerja sesuai dengan kebijakan yang ditetapkan</t>
        </is>
      </c>
      <c r="I43" s="28" t="n">
        <v>1</v>
      </c>
      <c r="J43" s="62" t="inlineStr">
        <is>
          <t>Perjanjian Kinerja Kepala OPD</t>
        </is>
      </c>
      <c r="K43" s="78" t="inlineStr"/>
      <c r="L43" s="29" t="inlineStr">
        <is>
          <t>Ada</t>
        </is>
      </c>
      <c r="M43" s="10" t="inlineStr">
        <is>
          <t>PK Inspektur Tahun 2026, SKP Irban, Auditor &amp; Perencana</t>
        </is>
      </c>
      <c r="N43" s="29" t="inlineStr">
        <is>
          <t>Ya</t>
        </is>
      </c>
      <c r="O43" s="29" t="inlineStr">
        <is>
          <t>Ya</t>
        </is>
      </c>
      <c r="P43" s="29" t="inlineStr">
        <is>
          <t>Sesuai</t>
        </is>
      </c>
      <c r="Q43" s="10" t="n"/>
      <c r="R43" s="30">
        <f>IF(OR(L43="",L43="N/A"),"",IF(L43="Tidak Ada",0,IF(P43="","",IF(P43="Tidak Sesuai",0,IF(AND(N43="Ya",O43="Ya",P43="Sesuai"),1,0.5)))))</f>
        <v/>
      </c>
      <c r="S43" s="30">
        <f>IF(L43="N/A","N/A",IF(R43="","Belum dinilai",IF(R43=1,"Memenuhi",IF(R43=0,"Tidak Memenuhi","Memenuhi Sebagian"))))</f>
        <v/>
      </c>
      <c r="T43" s="31" t="inlineStr">
        <is>
          <t>1.3-1</t>
        </is>
      </c>
      <c r="U43" s="63">
        <f>IF(COUNT(R43:R46)=0,"",SUM(R43:R46)/COUNT(R43:R46))</f>
        <v/>
      </c>
    </row>
    <row r="44" ht="27" customHeight="1">
      <c r="A44" s="77" t="n"/>
      <c r="B44" s="77" t="n"/>
      <c r="C44" s="77" t="n"/>
      <c r="D44" s="77" t="n"/>
      <c r="E44" s="33" t="inlineStr">
        <is>
          <t>C</t>
        </is>
      </c>
      <c r="F44" s="77" t="n"/>
      <c r="G44" s="77" t="n"/>
      <c r="H44" s="77" t="n"/>
      <c r="I44" s="28" t="n">
        <v>2</v>
      </c>
      <c r="J44" s="62" t="inlineStr">
        <is>
          <t>Pakta Integritas Pimpinan</t>
        </is>
      </c>
      <c r="K44" s="78" t="inlineStr"/>
      <c r="L44" s="29" t="n"/>
      <c r="M44" s="10" t="n"/>
      <c r="N44" s="29" t="n"/>
      <c r="O44" s="29" t="n"/>
      <c r="P44" s="29" t="n"/>
      <c r="Q44" s="10" t="n"/>
      <c r="R44" s="30">
        <f>IF(OR(L44="",L44="N/A"),"",IF(L44="Tidak Ada",0,IF(P44="","",IF(P44="Tidak Sesuai",0,IF(AND(N44="Ya",O44="Ya",P44="Sesuai"),1,0.5)))))</f>
        <v/>
      </c>
      <c r="S44" s="30">
        <f>IF(L44="N/A","N/A",IF(R44="","Belum dinilai",IF(R44=1,"Memenuhi",IF(R44=0,"Tidak Memenuhi","Memenuhi Sebagian"))))</f>
        <v/>
      </c>
      <c r="T44" s="31" t="inlineStr">
        <is>
          <t>1.3-1</t>
        </is>
      </c>
      <c r="U44" s="77" t="n"/>
    </row>
    <row r="45" ht="27" customHeight="1">
      <c r="A45" s="77" t="n"/>
      <c r="B45" s="77" t="n"/>
      <c r="C45" s="77" t="n"/>
      <c r="D45" s="77" t="n"/>
      <c r="E45" s="33" t="inlineStr">
        <is>
          <t>C</t>
        </is>
      </c>
      <c r="F45" s="77" t="n"/>
      <c r="G45" s="77" t="n"/>
      <c r="H45" s="77" t="n"/>
      <c r="I45" s="28" t="n">
        <v>3</v>
      </c>
      <c r="J45" s="62" t="inlineStr">
        <is>
          <t>Dokumen Pelaksanaan Manajemen Risiko</t>
        </is>
      </c>
      <c r="K45" s="78" t="inlineStr"/>
      <c r="L45" s="29" t="n"/>
      <c r="M45" s="10" t="n"/>
      <c r="N45" s="29" t="n"/>
      <c r="O45" s="29" t="n"/>
      <c r="P45" s="29" t="n"/>
      <c r="Q45" s="10" t="n"/>
      <c r="R45" s="30">
        <f>IF(OR(L45="",L45="N/A"),"",IF(L45="Tidak Ada",0,IF(P45="","",IF(P45="Tidak Sesuai",0,IF(AND(N45="Ya",O45="Ya",P45="Sesuai"),1,0.5)))))</f>
        <v/>
      </c>
      <c r="S45" s="30">
        <f>IF(L45="N/A","N/A",IF(R45="","Belum dinilai",IF(R45=1,"Memenuhi",IF(R45=0,"Tidak Memenuhi","Memenuhi Sebagian"))))</f>
        <v/>
      </c>
      <c r="T45" s="31" t="inlineStr">
        <is>
          <t>1.3-1</t>
        </is>
      </c>
      <c r="U45" s="77" t="n"/>
    </row>
    <row r="46" ht="27" customHeight="1">
      <c r="A46" s="77" t="n"/>
      <c r="B46" s="77" t="n"/>
      <c r="C46" s="77" t="n"/>
      <c r="D46" s="77" t="n"/>
      <c r="E46" s="33" t="inlineStr">
        <is>
          <t>C</t>
        </is>
      </c>
      <c r="F46" s="79" t="n"/>
      <c r="G46" s="79" t="n"/>
      <c r="H46" s="79" t="n"/>
      <c r="I46" s="28" t="n">
        <v>4</v>
      </c>
      <c r="J46" s="62" t="inlineStr">
        <is>
          <t>Rekapitulasi Kehadiran dan Kepatuhan Pegawai</t>
        </is>
      </c>
      <c r="K46" s="78" t="inlineStr"/>
      <c r="L46" s="29" t="n"/>
      <c r="M46" s="10" t="n"/>
      <c r="N46" s="29" t="n"/>
      <c r="O46" s="29" t="n"/>
      <c r="P46" s="29" t="n"/>
      <c r="Q46" s="10" t="n"/>
      <c r="R46" s="30">
        <f>IF(OR(L46="",L46="N/A"),"",IF(L46="Tidak Ada",0,IF(P46="","",IF(P46="Tidak Sesuai",0,IF(AND(N46="Ya",O46="Ya",P46="Sesuai"),1,0.5)))))</f>
        <v/>
      </c>
      <c r="S46" s="30">
        <f>IF(L46="N/A","N/A",IF(R46="","Belum dinilai",IF(R46=1,"Memenuhi",IF(R46=0,"Tidak Memenuhi","Memenuhi Sebagian"))))</f>
        <v/>
      </c>
      <c r="T46" s="31" t="inlineStr">
        <is>
          <t>1.3-1</t>
        </is>
      </c>
      <c r="U46" s="79" t="n"/>
    </row>
    <row r="47" ht="63" customHeight="1">
      <c r="A47" s="77" t="n"/>
      <c r="B47" s="77" t="n"/>
      <c r="C47" s="77" t="n"/>
      <c r="D47" s="77" t="n"/>
      <c r="E47" s="34" t="inlineStr">
        <is>
          <t>D</t>
        </is>
      </c>
      <c r="F47" s="62" t="inlineStr">
        <is>
          <t>D – Komunikasi &amp; Pemahaman</t>
        </is>
      </c>
      <c r="G47" s="62" t="inlineStr">
        <is>
          <t>Pimpinan organisasi terlibat dalam penyusunan dan penetapkan kebijakan yang mendukung penciptaan lingkungan kerja yang kondusif untuk pencapaian tujuan organisasi serta memahami substansi kebijakan pengendalian intern dan mendorong penerapan kebijakan dalam berbagai interaksi kepada jajaran di bawahnya</t>
        </is>
      </c>
      <c r="H47" s="62" t="inlineStr">
        <is>
          <t>Pimpinan organisasi terlibat dalam penyusunan dan penetapkan kebijakan yang mendukung penciptaan lingkungan kerja yang kondusif untuk pencapaian tujuan organisasi serta memahami substansi kebijakan pengendalian intern dan mendorong penerapan kebijakan dalam berbagai interaksi kepada jajaran di bawahnya</t>
        </is>
      </c>
      <c r="I47" s="28" t="n">
        <v>1</v>
      </c>
      <c r="J47" s="62" t="inlineStr">
        <is>
          <t>Notulen Rapat Pimpinan</t>
        </is>
      </c>
      <c r="K47" s="78" t="inlineStr"/>
      <c r="L47" s="29" t="n"/>
      <c r="M47" s="10" t="n"/>
      <c r="N47" s="29" t="n"/>
      <c r="O47" s="29" t="n"/>
      <c r="P47" s="29" t="n"/>
      <c r="Q47" s="10" t="n"/>
      <c r="R47" s="30">
        <f>IF(OR(L47="",L47="N/A"),"",IF(L47="Tidak Ada",0,IF(P47="","",IF(P47="Tidak Sesuai",0,IF(AND(N47="Ya",O47="Ya",P47="Sesuai"),1,0.5)))))</f>
        <v/>
      </c>
      <c r="S47" s="30">
        <f>IF(L47="N/A","N/A",IF(R47="","Belum dinilai",IF(R47=1,"Memenuhi",IF(R47=0,"Tidak Memenuhi","Memenuhi Sebagian"))))</f>
        <v/>
      </c>
      <c r="T47" s="31" t="inlineStr">
        <is>
          <t>1.3-1</t>
        </is>
      </c>
      <c r="U47" s="63">
        <f>IF(COUNT(R47:R49)=0,"",SUM(R47:R49)/COUNT(R47:R49))</f>
        <v/>
      </c>
    </row>
    <row r="48" ht="63" customHeight="1">
      <c r="A48" s="77" t="n"/>
      <c r="B48" s="77" t="n"/>
      <c r="C48" s="77" t="n"/>
      <c r="D48" s="77" t="n"/>
      <c r="E48" s="34" t="inlineStr">
        <is>
          <t>D</t>
        </is>
      </c>
      <c r="F48" s="77" t="n"/>
      <c r="G48" s="77" t="n"/>
      <c r="H48" s="77" t="n"/>
      <c r="I48" s="28" t="n">
        <v>2</v>
      </c>
      <c r="J48" s="62" t="inlineStr">
        <is>
          <t>Surat Edaran/Instruksi/Arahan Pimpinan</t>
        </is>
      </c>
      <c r="K48" s="78" t="inlineStr"/>
      <c r="L48" s="29" t="n"/>
      <c r="M48" s="10" t="n"/>
      <c r="N48" s="29" t="n"/>
      <c r="O48" s="29" t="n"/>
      <c r="P48" s="29" t="n"/>
      <c r="Q48" s="10" t="n"/>
      <c r="R48" s="30">
        <f>IF(OR(L48="",L48="N/A"),"",IF(L48="Tidak Ada",0,IF(P48="","",IF(P48="Tidak Sesuai",0,IF(AND(N48="Ya",O48="Ya",P48="Sesuai"),1,0.5)))))</f>
        <v/>
      </c>
      <c r="S48" s="30">
        <f>IF(L48="N/A","N/A",IF(R48="","Belum dinilai",IF(R48=1,"Memenuhi",IF(R48=0,"Tidak Memenuhi","Memenuhi Sebagian"))))</f>
        <v/>
      </c>
      <c r="T48" s="31" t="inlineStr">
        <is>
          <t>1.3-1</t>
        </is>
      </c>
      <c r="U48" s="77" t="n"/>
    </row>
    <row r="49" ht="63" customHeight="1">
      <c r="A49" s="77" t="n"/>
      <c r="B49" s="77" t="n"/>
      <c r="C49" s="77" t="n"/>
      <c r="D49" s="77" t="n"/>
      <c r="E49" s="34" t="inlineStr">
        <is>
          <t>D</t>
        </is>
      </c>
      <c r="F49" s="79" t="n"/>
      <c r="G49" s="79" t="n"/>
      <c r="H49" s="79" t="n"/>
      <c r="I49" s="28" t="n">
        <v>3</v>
      </c>
      <c r="J49" s="62" t="inlineStr">
        <is>
          <t>Dokumentasi Apel/Rapat/Forum Internal</t>
        </is>
      </c>
      <c r="K49" s="78" t="inlineStr"/>
      <c r="L49" s="29" t="n"/>
      <c r="M49" s="10" t="n"/>
      <c r="N49" s="29" t="n"/>
      <c r="O49" s="29" t="n"/>
      <c r="P49" s="29" t="n"/>
      <c r="Q49" s="10" t="n"/>
      <c r="R49" s="30">
        <f>IF(OR(L49="",L49="N/A"),"",IF(L49="Tidak Ada",0,IF(P49="","",IF(P49="Tidak Sesuai",0,IF(AND(N49="Ya",O49="Ya",P49="Sesuai"),1,0.5)))))</f>
        <v/>
      </c>
      <c r="S49" s="30">
        <f>IF(L49="N/A","N/A",IF(R49="","Belum dinilai",IF(R49=1,"Memenuhi",IF(R49=0,"Tidak Memenuhi","Memenuhi Sebagian"))))</f>
        <v/>
      </c>
      <c r="T49" s="31" t="inlineStr">
        <is>
          <t>1.3-1</t>
        </is>
      </c>
      <c r="U49" s="79" t="n"/>
    </row>
    <row r="50" ht="39" customHeight="1">
      <c r="A50" s="77" t="n"/>
      <c r="B50" s="77" t="n"/>
      <c r="C50" s="77" t="n"/>
      <c r="D50" s="77" t="n"/>
      <c r="E50" s="35" t="inlineStr">
        <is>
          <t>E</t>
        </is>
      </c>
      <c r="F50" s="62" t="inlineStr">
        <is>
          <t>E – Kebijakan/Formalitas</t>
        </is>
      </c>
      <c r="G50" s="62" t="inlineStr">
        <is>
          <t>Pimpinan organisasi terlibat dalam penyusunan dan penetapkan kebijakan yang mendukung penciptaan lingkungan kerja yang kondusif untuk pencapaian tujuan organisasi</t>
        </is>
      </c>
      <c r="H50" s="62" t="inlineStr">
        <is>
          <t>Pimpinan organisasi terlibat dalam penyusunan dan penetapkan kebijakan yang mendukung penciptaan lingkungan kerja yang kondusif untuk pencapaian tujuan organisasi</t>
        </is>
      </c>
      <c r="I50" s="28" t="n">
        <v>1</v>
      </c>
      <c r="J50" s="62" t="inlineStr">
        <is>
          <t>Peraturan/Keputusan/Surat Edaran Kebijakan Internal yang Ditetapkan Pimpinan</t>
        </is>
      </c>
      <c r="K50" s="78" t="inlineStr"/>
      <c r="L50" s="29" t="n"/>
      <c r="M50" s="10" t="n"/>
      <c r="N50" s="29" t="n"/>
      <c r="O50" s="29" t="n"/>
      <c r="P50" s="29" t="n"/>
      <c r="Q50" s="10" t="n"/>
      <c r="R50" s="30">
        <f>IF(OR(L50="",L50="N/A"),"",IF(L50="Tidak Ada",0,IF(P50="","",IF(P50="Tidak Sesuai",0,IF(AND(N50="Ya",O50="Ya",P50="Sesuai"),1,0.5)))))</f>
        <v/>
      </c>
      <c r="S50" s="30">
        <f>IF(L50="N/A","N/A",IF(R50="","Belum dinilai",IF(R50=1,"Memenuhi",IF(R50=0,"Tidak Memenuhi","Memenuhi Sebagian"))))</f>
        <v/>
      </c>
      <c r="T50" s="31" t="inlineStr">
        <is>
          <t>1.3-1</t>
        </is>
      </c>
      <c r="U50" s="63">
        <f>IF(COUNT(R50:R54)=0,"",SUM(R50:R54)/COUNT(R50:R54))</f>
        <v/>
      </c>
    </row>
    <row r="51" ht="27" customHeight="1">
      <c r="A51" s="77" t="n"/>
      <c r="B51" s="77" t="n"/>
      <c r="C51" s="77" t="n"/>
      <c r="D51" s="77" t="n"/>
      <c r="E51" s="35" t="inlineStr">
        <is>
          <t>E</t>
        </is>
      </c>
      <c r="F51" s="77" t="n"/>
      <c r="G51" s="77" t="n"/>
      <c r="H51" s="77" t="n"/>
      <c r="I51" s="28" t="n">
        <v>2</v>
      </c>
      <c r="J51" s="62" t="inlineStr">
        <is>
          <t>Dokumen Kebijakan Manajemen Kinerja</t>
        </is>
      </c>
      <c r="K51" s="78" t="inlineStr"/>
      <c r="L51" s="29" t="n"/>
      <c r="M51" s="10" t="n"/>
      <c r="N51" s="29" t="n"/>
      <c r="O51" s="29" t="n"/>
      <c r="P51" s="29" t="n"/>
      <c r="Q51" s="10" t="n"/>
      <c r="R51" s="30">
        <f>IF(OR(L51="",L51="N/A"),"",IF(L51="Tidak Ada",0,IF(P51="","",IF(P51="Tidak Sesuai",0,IF(AND(N51="Ya",O51="Ya",P51="Sesuai"),1,0.5)))))</f>
        <v/>
      </c>
      <c r="S51" s="30">
        <f>IF(L51="N/A","N/A",IF(R51="","Belum dinilai",IF(R51=1,"Memenuhi",IF(R51=0,"Tidak Memenuhi","Memenuhi Sebagian"))))</f>
        <v/>
      </c>
      <c r="T51" s="31" t="inlineStr">
        <is>
          <t>1.3-1</t>
        </is>
      </c>
      <c r="U51" s="77" t="n"/>
    </row>
    <row r="52" ht="27" customHeight="1">
      <c r="A52" s="77" t="n"/>
      <c r="B52" s="77" t="n"/>
      <c r="C52" s="77" t="n"/>
      <c r="D52" s="77" t="n"/>
      <c r="E52" s="35" t="inlineStr">
        <is>
          <t>E</t>
        </is>
      </c>
      <c r="F52" s="77" t="n"/>
      <c r="G52" s="77" t="n"/>
      <c r="H52" s="77" t="n"/>
      <c r="I52" s="28" t="n">
        <v>3</v>
      </c>
      <c r="J52" s="62" t="inlineStr">
        <is>
          <t>Dokumen Kebijakan Pengelolaan Keuangan dan Aset</t>
        </is>
      </c>
      <c r="K52" s="78" t="inlineStr"/>
      <c r="L52" s="29" t="n"/>
      <c r="M52" s="10" t="n"/>
      <c r="N52" s="29" t="n"/>
      <c r="O52" s="29" t="n"/>
      <c r="P52" s="29" t="n"/>
      <c r="Q52" s="10" t="n"/>
      <c r="R52" s="30">
        <f>IF(OR(L52="",L52="N/A"),"",IF(L52="Tidak Ada",0,IF(P52="","",IF(P52="Tidak Sesuai",0,IF(AND(N52="Ya",O52="Ya",P52="Sesuai"),1,0.5)))))</f>
        <v/>
      </c>
      <c r="S52" s="30">
        <f>IF(L52="N/A","N/A",IF(R52="","Belum dinilai",IF(R52=1,"Memenuhi",IF(R52=0,"Tidak Memenuhi","Memenuhi Sebagian"))))</f>
        <v/>
      </c>
      <c r="T52" s="31" t="inlineStr">
        <is>
          <t>1.3-1</t>
        </is>
      </c>
      <c r="U52" s="77" t="n"/>
    </row>
    <row r="53" ht="27" customHeight="1">
      <c r="A53" s="77" t="n"/>
      <c r="B53" s="77" t="n"/>
      <c r="C53" s="77" t="n"/>
      <c r="D53" s="77" t="n"/>
      <c r="E53" s="35" t="inlineStr">
        <is>
          <t>E</t>
        </is>
      </c>
      <c r="F53" s="77" t="n"/>
      <c r="G53" s="77" t="n"/>
      <c r="H53" s="77" t="n"/>
      <c r="I53" s="28" t="n">
        <v>4</v>
      </c>
      <c r="J53" s="62" t="inlineStr">
        <is>
          <t>Dokumen Kebijakan Pengelolaan SDM</t>
        </is>
      </c>
      <c r="K53" s="78" t="inlineStr"/>
      <c r="L53" s="29" t="n"/>
      <c r="M53" s="10" t="n"/>
      <c r="N53" s="29" t="n"/>
      <c r="O53" s="29" t="n"/>
      <c r="P53" s="29" t="n"/>
      <c r="Q53" s="10" t="n"/>
      <c r="R53" s="30">
        <f>IF(OR(L53="",L53="N/A"),"",IF(L53="Tidak Ada",0,IF(P53="","",IF(P53="Tidak Sesuai",0,IF(AND(N53="Ya",O53="Ya",P53="Sesuai"),1,0.5)))))</f>
        <v/>
      </c>
      <c r="S53" s="30">
        <f>IF(L53="N/A","N/A",IF(R53="","Belum dinilai",IF(R53=1,"Memenuhi",IF(R53=0,"Tidak Memenuhi","Memenuhi Sebagian"))))</f>
        <v/>
      </c>
      <c r="T53" s="31" t="inlineStr">
        <is>
          <t>1.3-1</t>
        </is>
      </c>
      <c r="U53" s="77" t="n"/>
    </row>
    <row r="54" ht="27" customHeight="1">
      <c r="A54" s="79" t="n"/>
      <c r="B54" s="79" t="n"/>
      <c r="C54" s="79" t="n"/>
      <c r="D54" s="79" t="n"/>
      <c r="E54" s="35" t="inlineStr">
        <is>
          <t>E</t>
        </is>
      </c>
      <c r="F54" s="79" t="n"/>
      <c r="G54" s="79" t="n"/>
      <c r="H54" s="79" t="n"/>
      <c r="I54" s="28" t="n">
        <v>5</v>
      </c>
      <c r="J54" s="62" t="inlineStr">
        <is>
          <t>Pedoman/Kebijakan Manajemen Risiko</t>
        </is>
      </c>
      <c r="K54" s="78" t="inlineStr"/>
      <c r="L54" s="29" t="n"/>
      <c r="M54" s="10" t="n"/>
      <c r="N54" s="29" t="n"/>
      <c r="O54" s="29" t="n"/>
      <c r="P54" s="29" t="n"/>
      <c r="Q54" s="10" t="n"/>
      <c r="R54" s="30">
        <f>IF(OR(L54="",L54="N/A"),"",IF(L54="Tidak Ada",0,IF(P54="","",IF(P54="Tidak Sesuai",0,IF(AND(N54="Ya",O54="Ya",P54="Sesuai"),1,0.5)))))</f>
        <v/>
      </c>
      <c r="S54" s="30">
        <f>IF(L54="N/A","N/A",IF(R54="","Belum dinilai",IF(R54=1,"Memenuhi",IF(R54=0,"Tidak Memenuhi","Memenuhi Sebagian"))))</f>
        <v/>
      </c>
      <c r="T54" s="31" t="inlineStr">
        <is>
          <t>1.3-1</t>
        </is>
      </c>
      <c r="U54" s="79" t="n"/>
    </row>
    <row r="55" ht="27" customHeight="1">
      <c r="A55" s="56" t="inlineStr">
        <is>
          <t>1.3</t>
        </is>
      </c>
      <c r="B55" s="57" t="inlineStr">
        <is>
          <t>Kepemimpinan yang Kondusif</t>
        </is>
      </c>
      <c r="C55" s="58" t="n">
        <v>2</v>
      </c>
      <c r="D55" s="59" t="inlineStr">
        <is>
          <t>Pimpinan K/L/D mengalokasikan sumber daya untuk penerapan manajemen risiko</t>
        </is>
      </c>
      <c r="E55" s="21" t="inlineStr">
        <is>
          <t>A</t>
        </is>
      </c>
      <c r="F55" s="60" t="inlineStr">
        <is>
          <t>A – Perbaikan Berkelanjutan</t>
        </is>
      </c>
      <c r="G55" s="60" t="inlineStr">
        <is>
          <t>Sudah mengalokasikan sumber daya secara memadai untuk penerapan manajemen risiko pada tingkat operasional unit kerja, strategis unit kerja, dan strategis K/L/D</t>
        </is>
      </c>
      <c r="H55" s="60" t="inlineStr">
        <is>
          <t>Mengalokasikan sumber daya secara memadai untuk penerapan manajemen risiko pada tingkat operasional unit kerja, strategis unit kerja, dan strategis K/L/D</t>
        </is>
      </c>
      <c r="I55" s="22" t="n">
        <v>1</v>
      </c>
      <c r="J55" s="60" t="inlineStr">
        <is>
          <t>DPA/RKA yang Memuat Anggaran Penerapan Manajemen Risiko</t>
        </is>
      </c>
      <c r="K55" s="76" t="inlineStr"/>
      <c r="L55" s="23" t="n"/>
      <c r="M55" s="24" t="n"/>
      <c r="N55" s="23" t="n"/>
      <c r="O55" s="23" t="n"/>
      <c r="P55" s="23" t="n"/>
      <c r="Q55" s="24" t="n"/>
      <c r="R55" s="25">
        <f>IF(OR(L55="",L55="N/A"),"",IF(L55="Tidak Ada",0,IF(P55="","",IF(P55="Tidak Sesuai",0,IF(AND(N55="Ya",O55="Ya",P55="Sesuai"),1,0.5)))))</f>
        <v/>
      </c>
      <c r="S55" s="25">
        <f>IF(L55="N/A","N/A",IF(R55="","Belum dinilai",IF(R55=1,"Memenuhi",IF(R55=0,"Tidak Memenuhi","Memenuhi Sebagian"))))</f>
        <v/>
      </c>
      <c r="T55" s="26" t="inlineStr">
        <is>
          <t>1.3-2</t>
        </is>
      </c>
      <c r="U55" s="61">
        <f>IF(COUNT(R55:R59)=0,"",SUM(R55:R59)/COUNT(R55:R59))</f>
        <v/>
      </c>
    </row>
    <row r="56" ht="27" customHeight="1">
      <c r="A56" s="77" t="n"/>
      <c r="B56" s="77" t="n"/>
      <c r="C56" s="77" t="n"/>
      <c r="D56" s="77" t="n"/>
      <c r="E56" s="27" t="inlineStr">
        <is>
          <t>A</t>
        </is>
      </c>
      <c r="F56" s="77" t="n"/>
      <c r="G56" s="77" t="n"/>
      <c r="H56" s="77" t="n"/>
      <c r="I56" s="28" t="n">
        <v>2</v>
      </c>
      <c r="J56" s="62" t="inlineStr">
        <is>
          <t>SK/Surat Keputusan Unit Pemilik Risiko (UPR)</t>
        </is>
      </c>
      <c r="K56" s="78" t="inlineStr"/>
      <c r="L56" s="29" t="n"/>
      <c r="M56" s="10" t="n"/>
      <c r="N56" s="29" t="n"/>
      <c r="O56" s="29" t="n"/>
      <c r="P56" s="29" t="n"/>
      <c r="Q56" s="10" t="n"/>
      <c r="R56" s="30">
        <f>IF(OR(L56="",L56="N/A"),"",IF(L56="Tidak Ada",0,IF(P56="","",IF(P56="Tidak Sesuai",0,IF(AND(N56="Ya",O56="Ya",P56="Sesuai"),1,0.5)))))</f>
        <v/>
      </c>
      <c r="S56" s="30">
        <f>IF(L56="N/A","N/A",IF(R56="","Belum dinilai",IF(R56=1,"Memenuhi",IF(R56=0,"Tidak Memenuhi","Memenuhi Sebagian"))))</f>
        <v/>
      </c>
      <c r="T56" s="31" t="inlineStr">
        <is>
          <t>1.3-2</t>
        </is>
      </c>
      <c r="U56" s="77" t="n"/>
    </row>
    <row r="57" ht="27" customHeight="1">
      <c r="A57" s="77" t="n"/>
      <c r="B57" s="77" t="n"/>
      <c r="C57" s="77" t="n"/>
      <c r="D57" s="77" t="n"/>
      <c r="E57" s="27" t="inlineStr">
        <is>
          <t>A</t>
        </is>
      </c>
      <c r="F57" s="77" t="n"/>
      <c r="G57" s="77" t="n"/>
      <c r="H57" s="77" t="n"/>
      <c r="I57" s="28" t="n">
        <v>3</v>
      </c>
      <c r="J57" s="62" t="inlineStr">
        <is>
          <t>Daftar Anggota UPR dan Bukti Kompetensi Manajemen Risiko</t>
        </is>
      </c>
      <c r="K57" s="78" t="inlineStr"/>
      <c r="L57" s="29" t="n"/>
      <c r="M57" s="10" t="n"/>
      <c r="N57" s="29" t="n"/>
      <c r="O57" s="29" t="n"/>
      <c r="P57" s="29" t="n"/>
      <c r="Q57" s="10" t="n"/>
      <c r="R57" s="30">
        <f>IF(OR(L57="",L57="N/A"),"",IF(L57="Tidak Ada",0,IF(P57="","",IF(P57="Tidak Sesuai",0,IF(AND(N57="Ya",O57="Ya",P57="Sesuai"),1,0.5)))))</f>
        <v/>
      </c>
      <c r="S57" s="30">
        <f>IF(L57="N/A","N/A",IF(R57="","Belum dinilai",IF(R57=1,"Memenuhi",IF(R57=0,"Tidak Memenuhi","Memenuhi Sebagian"))))</f>
        <v/>
      </c>
      <c r="T57" s="31" t="inlineStr">
        <is>
          <t>1.3-2</t>
        </is>
      </c>
      <c r="U57" s="77" t="n"/>
    </row>
    <row r="58" ht="27" customHeight="1">
      <c r="A58" s="77" t="n"/>
      <c r="B58" s="77" t="n"/>
      <c r="C58" s="77" t="n"/>
      <c r="D58" s="77" t="n"/>
      <c r="E58" s="27" t="inlineStr">
        <is>
          <t>A</t>
        </is>
      </c>
      <c r="F58" s="77" t="n"/>
      <c r="G58" s="77" t="n"/>
      <c r="H58" s="77" t="n"/>
      <c r="I58" s="28" t="n">
        <v>4</v>
      </c>
      <c r="J58" s="62" t="inlineStr">
        <is>
          <t>Profil Risiko dan Rencana Tindak Pengendalian (RTP)</t>
        </is>
      </c>
      <c r="K58" s="78" t="inlineStr"/>
      <c r="L58" s="29" t="n"/>
      <c r="M58" s="10" t="n"/>
      <c r="N58" s="29" t="n"/>
      <c r="O58" s="29" t="n"/>
      <c r="P58" s="29" t="n"/>
      <c r="Q58" s="10" t="n"/>
      <c r="R58" s="30">
        <f>IF(OR(L58="",L58="N/A"),"",IF(L58="Tidak Ada",0,IF(P58="","",IF(P58="Tidak Sesuai",0,IF(AND(N58="Ya",O58="Ya",P58="Sesuai"),1,0.5)))))</f>
        <v/>
      </c>
      <c r="S58" s="30">
        <f>IF(L58="N/A","N/A",IF(R58="","Belum dinilai",IF(R58=1,"Memenuhi",IF(R58=0,"Tidak Memenuhi","Memenuhi Sebagian"))))</f>
        <v/>
      </c>
      <c r="T58" s="31" t="inlineStr">
        <is>
          <t>1.3-2</t>
        </is>
      </c>
      <c r="U58" s="77" t="n"/>
    </row>
    <row r="59" ht="27" customHeight="1">
      <c r="A59" s="77" t="n"/>
      <c r="B59" s="77" t="n"/>
      <c r="C59" s="77" t="n"/>
      <c r="D59" s="77" t="n"/>
      <c r="E59" s="27" t="inlineStr">
        <is>
          <t>A</t>
        </is>
      </c>
      <c r="F59" s="79" t="n"/>
      <c r="G59" s="79" t="n"/>
      <c r="H59" s="79" t="n"/>
      <c r="I59" s="28" t="n">
        <v>5</v>
      </c>
      <c r="J59" s="62" t="inlineStr">
        <is>
          <t>Laporan Monitoring/Reviu Penerapan Manajemen Risiko</t>
        </is>
      </c>
      <c r="K59" s="78" t="inlineStr"/>
      <c r="L59" s="29" t="n"/>
      <c r="M59" s="10" t="n"/>
      <c r="N59" s="29" t="n"/>
      <c r="O59" s="29" t="n"/>
      <c r="P59" s="29" t="n"/>
      <c r="Q59" s="10" t="n"/>
      <c r="R59" s="30">
        <f>IF(OR(L59="",L59="N/A"),"",IF(L59="Tidak Ada",0,IF(P59="","",IF(P59="Tidak Sesuai",0,IF(AND(N59="Ya",O59="Ya",P59="Sesuai"),1,0.5)))))</f>
        <v/>
      </c>
      <c r="S59" s="30">
        <f>IF(L59="N/A","N/A",IF(R59="","Belum dinilai",IF(R59=1,"Memenuhi",IF(R59=0,"Tidak Memenuhi","Memenuhi Sebagian"))))</f>
        <v/>
      </c>
      <c r="T59" s="31" t="inlineStr">
        <is>
          <t>1.3-2</t>
        </is>
      </c>
      <c r="U59" s="79" t="n"/>
    </row>
    <row r="60" ht="27" customHeight="1">
      <c r="A60" s="77" t="n"/>
      <c r="B60" s="77" t="n"/>
      <c r="C60" s="77" t="n"/>
      <c r="D60" s="77" t="n"/>
      <c r="E60" s="32" t="inlineStr">
        <is>
          <t>B</t>
        </is>
      </c>
      <c r="F60" s="62" t="inlineStr">
        <is>
          <t>B – Evaluasi &amp; Tindak Lanjut</t>
        </is>
      </c>
      <c r="G60" s="62" t="inlineStr">
        <is>
          <t>Sudah mengalokasikan sumber daya secara memadai untuk penerapan manajemen risiko pada tingkat operasional unit kerja dan strategis unit kerja namun pada tingkat srategis K/L/D belum memadai</t>
        </is>
      </c>
      <c r="H60" s="62" t="inlineStr">
        <is>
          <t>Mengalokasikan sumber daya secara memadai untuk penerapan manajemen risiko pada tingkat operasional unit kerja dan strategis unit kerja namun pada tingkat srategis K/L/D belum memadai</t>
        </is>
      </c>
      <c r="I60" s="28" t="n">
        <v>1</v>
      </c>
      <c r="J60" s="62" t="inlineStr">
        <is>
          <t>DPA/RKA yang Memuat Anggaran Penerapan Manajemen Risiko</t>
        </is>
      </c>
      <c r="K60" s="78" t="inlineStr"/>
      <c r="L60" s="29" t="n"/>
      <c r="M60" s="10" t="n"/>
      <c r="N60" s="29" t="n"/>
      <c r="O60" s="29" t="n"/>
      <c r="P60" s="29" t="n"/>
      <c r="Q60" s="10" t="n"/>
      <c r="R60" s="30">
        <f>IF(OR(L60="",L60="N/A"),"",IF(L60="Tidak Ada",0,IF(P60="","",IF(P60="Tidak Sesuai",0,IF(AND(N60="Ya",O60="Ya",P60="Sesuai"),1,0.5)))))</f>
        <v/>
      </c>
      <c r="S60" s="30">
        <f>IF(L60="N/A","N/A",IF(R60="","Belum dinilai",IF(R60=1,"Memenuhi",IF(R60=0,"Tidak Memenuhi","Memenuhi Sebagian"))))</f>
        <v/>
      </c>
      <c r="T60" s="31" t="inlineStr">
        <is>
          <t>1.3-2</t>
        </is>
      </c>
      <c r="U60" s="63">
        <f>IF(COUNT(R60:R64)=0,"",SUM(R60:R64)/COUNT(R60:R64))</f>
        <v/>
      </c>
    </row>
    <row r="61" ht="27" customHeight="1">
      <c r="A61" s="77" t="n"/>
      <c r="B61" s="77" t="n"/>
      <c r="C61" s="77" t="n"/>
      <c r="D61" s="77" t="n"/>
      <c r="E61" s="32" t="inlineStr">
        <is>
          <t>B</t>
        </is>
      </c>
      <c r="F61" s="77" t="n"/>
      <c r="G61" s="77" t="n"/>
      <c r="H61" s="77" t="n"/>
      <c r="I61" s="28" t="n">
        <v>2</v>
      </c>
      <c r="J61" s="62" t="inlineStr">
        <is>
          <t>SK/Surat Keputusan UPR</t>
        </is>
      </c>
      <c r="K61" s="78" t="inlineStr"/>
      <c r="L61" s="29" t="n"/>
      <c r="M61" s="10" t="n"/>
      <c r="N61" s="29" t="n"/>
      <c r="O61" s="29" t="n"/>
      <c r="P61" s="29" t="n"/>
      <c r="Q61" s="10" t="n"/>
      <c r="R61" s="30">
        <f>IF(OR(L61="",L61="N/A"),"",IF(L61="Tidak Ada",0,IF(P61="","",IF(P61="Tidak Sesuai",0,IF(AND(N61="Ya",O61="Ya",P61="Sesuai"),1,0.5)))))</f>
        <v/>
      </c>
      <c r="S61" s="30">
        <f>IF(L61="N/A","N/A",IF(R61="","Belum dinilai",IF(R61=1,"Memenuhi",IF(R61=0,"Tidak Memenuhi","Memenuhi Sebagian"))))</f>
        <v/>
      </c>
      <c r="T61" s="31" t="inlineStr">
        <is>
          <t>1.3-2</t>
        </is>
      </c>
      <c r="U61" s="77" t="n"/>
    </row>
    <row r="62" ht="27" customHeight="1">
      <c r="A62" s="77" t="n"/>
      <c r="B62" s="77" t="n"/>
      <c r="C62" s="77" t="n"/>
      <c r="D62" s="77" t="n"/>
      <c r="E62" s="32" t="inlineStr">
        <is>
          <t>B</t>
        </is>
      </c>
      <c r="F62" s="77" t="n"/>
      <c r="G62" s="77" t="n"/>
      <c r="H62" s="77" t="n"/>
      <c r="I62" s="28" t="n">
        <v>3</v>
      </c>
      <c r="J62" s="62" t="inlineStr">
        <is>
          <t>Profil Risiko dan RTP</t>
        </is>
      </c>
      <c r="K62" s="78" t="inlineStr"/>
      <c r="L62" s="29" t="n"/>
      <c r="M62" s="10" t="n"/>
      <c r="N62" s="29" t="n"/>
      <c r="O62" s="29" t="n"/>
      <c r="P62" s="29" t="n"/>
      <c r="Q62" s="10" t="n"/>
      <c r="R62" s="30">
        <f>IF(OR(L62="",L62="N/A"),"",IF(L62="Tidak Ada",0,IF(P62="","",IF(P62="Tidak Sesuai",0,IF(AND(N62="Ya",O62="Ya",P62="Sesuai"),1,0.5)))))</f>
        <v/>
      </c>
      <c r="S62" s="30">
        <f>IF(L62="N/A","N/A",IF(R62="","Belum dinilai",IF(R62=1,"Memenuhi",IF(R62=0,"Tidak Memenuhi","Memenuhi Sebagian"))))</f>
        <v/>
      </c>
      <c r="T62" s="31" t="inlineStr">
        <is>
          <t>1.3-2</t>
        </is>
      </c>
      <c r="U62" s="77" t="n"/>
    </row>
    <row r="63" ht="27" customHeight="1">
      <c r="A63" s="77" t="n"/>
      <c r="B63" s="77" t="n"/>
      <c r="C63" s="77" t="n"/>
      <c r="D63" s="77" t="n"/>
      <c r="E63" s="32" t="inlineStr">
        <is>
          <t>B</t>
        </is>
      </c>
      <c r="F63" s="77" t="n"/>
      <c r="G63" s="77" t="n"/>
      <c r="H63" s="77" t="n"/>
      <c r="I63" s="28" t="n">
        <v>4</v>
      </c>
      <c r="J63" s="62" t="inlineStr">
        <is>
          <t>Daftar Anggota UPR dan Bukti Kompetensi Manajemen Risiko</t>
        </is>
      </c>
      <c r="K63" s="78" t="inlineStr"/>
      <c r="L63" s="29" t="n"/>
      <c r="M63" s="10" t="n"/>
      <c r="N63" s="29" t="n"/>
      <c r="O63" s="29" t="n"/>
      <c r="P63" s="29" t="n"/>
      <c r="Q63" s="10" t="n"/>
      <c r="R63" s="30">
        <f>IF(OR(L63="",L63="N/A"),"",IF(L63="Tidak Ada",0,IF(P63="","",IF(P63="Tidak Sesuai",0,IF(AND(N63="Ya",O63="Ya",P63="Sesuai"),1,0.5)))))</f>
        <v/>
      </c>
      <c r="S63" s="30">
        <f>IF(L63="N/A","N/A",IF(R63="","Belum dinilai",IF(R63=1,"Memenuhi",IF(R63=0,"Tidak Memenuhi","Memenuhi Sebagian"))))</f>
        <v/>
      </c>
      <c r="T63" s="31" t="inlineStr">
        <is>
          <t>1.3-2</t>
        </is>
      </c>
      <c r="U63" s="77" t="n"/>
    </row>
    <row r="64" ht="27" customHeight="1">
      <c r="A64" s="77" t="n"/>
      <c r="B64" s="77" t="n"/>
      <c r="C64" s="77" t="n"/>
      <c r="D64" s="77" t="n"/>
      <c r="E64" s="32" t="inlineStr">
        <is>
          <t>B</t>
        </is>
      </c>
      <c r="F64" s="79" t="n"/>
      <c r="G64" s="79" t="n"/>
      <c r="H64" s="79" t="n"/>
      <c r="I64" s="28" t="n">
        <v>5</v>
      </c>
      <c r="J64" s="62" t="inlineStr">
        <is>
          <t>Laporan Monitoring/Reviu Penerapan Manajemen Risiko</t>
        </is>
      </c>
      <c r="K64" s="78" t="inlineStr"/>
      <c r="L64" s="29" t="n"/>
      <c r="M64" s="10" t="n"/>
      <c r="N64" s="29" t="n"/>
      <c r="O64" s="29" t="n"/>
      <c r="P64" s="29" t="n"/>
      <c r="Q64" s="10" t="n"/>
      <c r="R64" s="30">
        <f>IF(OR(L64="",L64="N/A"),"",IF(L64="Tidak Ada",0,IF(P64="","",IF(P64="Tidak Sesuai",0,IF(AND(N64="Ya",O64="Ya",P64="Sesuai"),1,0.5)))))</f>
        <v/>
      </c>
      <c r="S64" s="30">
        <f>IF(L64="N/A","N/A",IF(R64="","Belum dinilai",IF(R64=1,"Memenuhi",IF(R64=0,"Tidak Memenuhi","Memenuhi Sebagian"))))</f>
        <v/>
      </c>
      <c r="T64" s="31" t="inlineStr">
        <is>
          <t>1.3-2</t>
        </is>
      </c>
      <c r="U64" s="79" t="n"/>
    </row>
    <row r="65" ht="27" customHeight="1">
      <c r="A65" s="77" t="n"/>
      <c r="B65" s="77" t="n"/>
      <c r="C65" s="77" t="n"/>
      <c r="D65" s="77" t="n"/>
      <c r="E65" s="33" t="inlineStr">
        <is>
          <t>C</t>
        </is>
      </c>
      <c r="F65" s="62" t="inlineStr">
        <is>
          <t>C – Implementasi</t>
        </is>
      </c>
      <c r="G65" s="62" t="inlineStr">
        <is>
          <t>Sudah mengalokasikan sumber daya secara memadai untuk penerapan manajemen risiko pada tingkat operasional unit kerja dan strategis unit kerja</t>
        </is>
      </c>
      <c r="H65" s="62" t="inlineStr">
        <is>
          <t>Mengalokasikan sumber daya secara memadai untuk penerapan manajemen risiko pada tingkat operasional unit kerja dan strategis unit kerja</t>
        </is>
      </c>
      <c r="I65" s="28" t="n">
        <v>1</v>
      </c>
      <c r="J65" s="62" t="inlineStr">
        <is>
          <t>DPA/RKA yang Memuat Anggaran Penerapan Manajemen Risiko</t>
        </is>
      </c>
      <c r="K65" s="78" t="inlineStr"/>
      <c r="L65" s="29" t="inlineStr">
        <is>
          <t>Ada</t>
        </is>
      </c>
      <c r="M65" s="10" t="inlineStr">
        <is>
          <t>DPA/DPPA TA 2026</t>
        </is>
      </c>
      <c r="N65" s="29" t="inlineStr">
        <is>
          <t>Ya</t>
        </is>
      </c>
      <c r="O65" s="29" t="inlineStr">
        <is>
          <t>Ya</t>
        </is>
      </c>
      <c r="P65" s="29" t="inlineStr">
        <is>
          <t>Sesuai</t>
        </is>
      </c>
      <c r="Q65" s="10" t="n"/>
      <c r="R65" s="30">
        <f>IF(OR(L65="",L65="N/A"),"",IF(L65="Tidak Ada",0,IF(P65="","",IF(P65="Tidak Sesuai",0,IF(AND(N65="Ya",O65="Ya",P65="Sesuai"),1,0.5)))))</f>
        <v/>
      </c>
      <c r="S65" s="30">
        <f>IF(L65="N/A","N/A",IF(R65="","Belum dinilai",IF(R65=1,"Memenuhi",IF(R65=0,"Tidak Memenuhi","Memenuhi Sebagian"))))</f>
        <v/>
      </c>
      <c r="T65" s="31" t="inlineStr">
        <is>
          <t>1.3-2</t>
        </is>
      </c>
      <c r="U65" s="63">
        <f>IF(COUNT(R65:R68)=0,"",SUM(R65:R68)/COUNT(R65:R68))</f>
        <v/>
      </c>
    </row>
    <row r="66" ht="27" customHeight="1">
      <c r="A66" s="77" t="n"/>
      <c r="B66" s="77" t="n"/>
      <c r="C66" s="77" t="n"/>
      <c r="D66" s="77" t="n"/>
      <c r="E66" s="33" t="inlineStr">
        <is>
          <t>C</t>
        </is>
      </c>
      <c r="F66" s="77" t="n"/>
      <c r="G66" s="77" t="n"/>
      <c r="H66" s="77" t="n"/>
      <c r="I66" s="28" t="n">
        <v>2</v>
      </c>
      <c r="J66" s="62" t="inlineStr">
        <is>
          <t>SK/Surat Keputusan UPR</t>
        </is>
      </c>
      <c r="K66" s="78" t="inlineStr"/>
      <c r="L66" s="29" t="n"/>
      <c r="M66" s="10" t="n"/>
      <c r="N66" s="29" t="n"/>
      <c r="O66" s="29" t="n"/>
      <c r="P66" s="29" t="n"/>
      <c r="Q66" s="10" t="n"/>
      <c r="R66" s="30">
        <f>IF(OR(L66="",L66="N/A"),"",IF(L66="Tidak Ada",0,IF(P66="","",IF(P66="Tidak Sesuai",0,IF(AND(N66="Ya",O66="Ya",P66="Sesuai"),1,0.5)))))</f>
        <v/>
      </c>
      <c r="S66" s="30">
        <f>IF(L66="N/A","N/A",IF(R66="","Belum dinilai",IF(R66=1,"Memenuhi",IF(R66=0,"Tidak Memenuhi","Memenuhi Sebagian"))))</f>
        <v/>
      </c>
      <c r="T66" s="31" t="inlineStr">
        <is>
          <t>1.3-2</t>
        </is>
      </c>
      <c r="U66" s="77" t="n"/>
    </row>
    <row r="67" ht="27" customFormat="1" customHeight="1" s="68">
      <c r="A67" s="77" t="n"/>
      <c r="B67" s="77" t="n"/>
      <c r="C67" s="77" t="n"/>
      <c r="D67" s="77" t="n"/>
      <c r="E67" s="33" t="inlineStr">
        <is>
          <t>C</t>
        </is>
      </c>
      <c r="F67" s="77" t="n"/>
      <c r="G67" s="77" t="n"/>
      <c r="H67" s="77" t="n"/>
      <c r="I67" s="28" t="n">
        <v>3</v>
      </c>
      <c r="J67" s="37" t="inlineStr">
        <is>
          <t>Profil Risiko dan RTP</t>
        </is>
      </c>
      <c r="K67" s="78" t="inlineStr"/>
      <c r="L67" s="29" t="inlineStr">
        <is>
          <t>Ada</t>
        </is>
      </c>
      <c r="M67" s="67" t="inlineStr">
        <is>
          <t>RR dan Laporan pemantauan RTP</t>
        </is>
      </c>
      <c r="N67" s="29" t="inlineStr">
        <is>
          <t>Ya</t>
        </is>
      </c>
      <c r="O67" s="29" t="inlineStr">
        <is>
          <t>Ya</t>
        </is>
      </c>
      <c r="P67" s="29" t="inlineStr">
        <is>
          <t>Sesuai</t>
        </is>
      </c>
      <c r="Q67" s="67" t="n"/>
      <c r="R67" s="30">
        <f>IF(OR(L67="",L67="N/A"),"",IF(L67="Tidak Ada",0,IF(P67="","",IF(P67="Tidak Sesuai",0,IF(AND(N67="Ya",O67="Ya",P67="Sesuai"),1,0.5)))))</f>
        <v/>
      </c>
      <c r="S67" s="30">
        <f>IF(L67="N/A","N/A",IF(R67="","Belum dinilai",IF(R67=1,"Memenuhi",IF(R67=0,"Tidak Memenuhi","Memenuhi Sebagian"))))</f>
        <v/>
      </c>
      <c r="T67" s="31" t="inlineStr">
        <is>
          <t>1.3-2</t>
        </is>
      </c>
      <c r="U67" s="77" t="n"/>
    </row>
    <row r="68" ht="27" customHeight="1">
      <c r="A68" s="77" t="n"/>
      <c r="B68" s="77" t="n"/>
      <c r="C68" s="77" t="n"/>
      <c r="D68" s="77" t="n"/>
      <c r="E68" s="33" t="inlineStr">
        <is>
          <t>C</t>
        </is>
      </c>
      <c r="F68" s="79" t="n"/>
      <c r="G68" s="79" t="n"/>
      <c r="H68" s="79" t="n"/>
      <c r="I68" s="28" t="n">
        <v>4</v>
      </c>
      <c r="J68" s="62" t="inlineStr">
        <is>
          <t>Daftar Anggota UPR dan Bukti Kompetensi Manajemen Risiko</t>
        </is>
      </c>
      <c r="K68" s="78" t="inlineStr"/>
      <c r="L68" s="29" t="n"/>
      <c r="M68" s="10" t="n"/>
      <c r="N68" s="29" t="n"/>
      <c r="O68" s="29" t="n"/>
      <c r="P68" s="29" t="n"/>
      <c r="Q68" s="10" t="n"/>
      <c r="R68" s="30">
        <f>IF(OR(L68="",L68="N/A"),"",IF(L68="Tidak Ada",0,IF(P68="","",IF(P68="Tidak Sesuai",0,IF(AND(N68="Ya",O68="Ya",P68="Sesuai"),1,0.5)))))</f>
        <v/>
      </c>
      <c r="S68" s="30">
        <f>IF(L68="N/A","N/A",IF(R68="","Belum dinilai",IF(R68=1,"Memenuhi",IF(R68=0,"Tidak Memenuhi","Memenuhi Sebagian"))))</f>
        <v/>
      </c>
      <c r="T68" s="31" t="inlineStr">
        <is>
          <t>1.3-2</t>
        </is>
      </c>
      <c r="U68" s="79" t="n"/>
    </row>
    <row r="69" ht="39" customHeight="1">
      <c r="A69" s="77" t="n"/>
      <c r="B69" s="77" t="n"/>
      <c r="C69" s="77" t="n"/>
      <c r="D69" s="77" t="n"/>
      <c r="E69" s="34" t="inlineStr">
        <is>
          <t>D</t>
        </is>
      </c>
      <c r="F69" s="62" t="inlineStr">
        <is>
          <t>D – Komunikasi &amp; Pemahaman</t>
        </is>
      </c>
      <c r="G69" s="62" t="inlineStr">
        <is>
          <t>Sudah mengalokasikan sumber daya secara memadai untuk penerapan manajemen risiko pada tingkat operasional unit kerja namun pada tingkat strategis unit kerja belum memadai</t>
        </is>
      </c>
      <c r="H69" s="62" t="inlineStr">
        <is>
          <t>Mengalokasikan sumber daya secara memadai untuk penerapan manajemen risiko pada tingkat operasional unit kerja namun pada tingkat strategis unit kerja belum memadai</t>
        </is>
      </c>
      <c r="I69" s="28" t="n">
        <v>1</v>
      </c>
      <c r="J69" s="62" t="inlineStr">
        <is>
          <t>DPA/RKA yang Memuat Anggaran Penerapan Manajemen Risiko Tingkat Operasional</t>
        </is>
      </c>
      <c r="K69" s="78" t="inlineStr"/>
      <c r="L69" s="29" t="n"/>
      <c r="M69" s="10" t="n"/>
      <c r="N69" s="29" t="n"/>
      <c r="O69" s="29" t="n"/>
      <c r="P69" s="29" t="n"/>
      <c r="Q69" s="10" t="n"/>
      <c r="R69" s="30">
        <f>IF(OR(L69="",L69="N/A"),"",IF(L69="Tidak Ada",0,IF(P69="","",IF(P69="Tidak Sesuai",0,IF(AND(N69="Ya",O69="Ya",P69="Sesuai"),1,0.5)))))</f>
        <v/>
      </c>
      <c r="S69" s="30">
        <f>IF(L69="N/A","N/A",IF(R69="","Belum dinilai",IF(R69=1,"Memenuhi",IF(R69=0,"Tidak Memenuhi","Memenuhi Sebagian"))))</f>
        <v/>
      </c>
      <c r="T69" s="31" t="inlineStr">
        <is>
          <t>1.3-2</t>
        </is>
      </c>
      <c r="U69" s="63">
        <f>IF(COUNT(R69:R72)=0,"",SUM(R69:R72)/COUNT(R69:R72))</f>
        <v/>
      </c>
    </row>
    <row r="70" ht="27" customHeight="1">
      <c r="A70" s="77" t="n"/>
      <c r="B70" s="77" t="n"/>
      <c r="C70" s="77" t="n"/>
      <c r="D70" s="77" t="n"/>
      <c r="E70" s="34" t="inlineStr">
        <is>
          <t>D</t>
        </is>
      </c>
      <c r="F70" s="77" t="n"/>
      <c r="G70" s="77" t="n"/>
      <c r="H70" s="77" t="n"/>
      <c r="I70" s="28" t="n">
        <v>2</v>
      </c>
      <c r="J70" s="62" t="inlineStr">
        <is>
          <t>SK/Surat Keputusan UPR</t>
        </is>
      </c>
      <c r="K70" s="78" t="inlineStr"/>
      <c r="L70" s="29" t="n"/>
      <c r="M70" s="10" t="n"/>
      <c r="N70" s="29" t="n"/>
      <c r="O70" s="29" t="n"/>
      <c r="P70" s="29" t="n"/>
      <c r="Q70" s="10" t="n"/>
      <c r="R70" s="30">
        <f>IF(OR(L70="",L70="N/A"),"",IF(L70="Tidak Ada",0,IF(P70="","",IF(P70="Tidak Sesuai",0,IF(AND(N70="Ya",O70="Ya",P70="Sesuai"),1,0.5)))))</f>
        <v/>
      </c>
      <c r="S70" s="30">
        <f>IF(L70="N/A","N/A",IF(R70="","Belum dinilai",IF(R70=1,"Memenuhi",IF(R70=0,"Tidak Memenuhi","Memenuhi Sebagian"))))</f>
        <v/>
      </c>
      <c r="T70" s="31" t="inlineStr">
        <is>
          <t>1.3-2</t>
        </is>
      </c>
      <c r="U70" s="77" t="n"/>
    </row>
    <row r="71" ht="27" customHeight="1">
      <c r="A71" s="77" t="n"/>
      <c r="B71" s="77" t="n"/>
      <c r="C71" s="77" t="n"/>
      <c r="D71" s="77" t="n"/>
      <c r="E71" s="34" t="inlineStr">
        <is>
          <t>D</t>
        </is>
      </c>
      <c r="F71" s="77" t="n"/>
      <c r="G71" s="77" t="n"/>
      <c r="H71" s="77" t="n"/>
      <c r="I71" s="28" t="n">
        <v>3</v>
      </c>
      <c r="J71" s="62" t="inlineStr">
        <is>
          <t>Bukti Pelaksanaan Kegiatan Manajemen Risiko</t>
        </is>
      </c>
      <c r="K71" s="78" t="inlineStr"/>
      <c r="L71" s="29" t="n"/>
      <c r="M71" s="10" t="n"/>
      <c r="N71" s="29" t="n"/>
      <c r="O71" s="29" t="n"/>
      <c r="P71" s="29" t="n"/>
      <c r="Q71" s="10" t="n"/>
      <c r="R71" s="30">
        <f>IF(OR(L71="",L71="N/A"),"",IF(L71="Tidak Ada",0,IF(P71="","",IF(P71="Tidak Sesuai",0,IF(AND(N71="Ya",O71="Ya",P71="Sesuai"),1,0.5)))))</f>
        <v/>
      </c>
      <c r="S71" s="30">
        <f>IF(L71="N/A","N/A",IF(R71="","Belum dinilai",IF(R71=1,"Memenuhi",IF(R71=0,"Tidak Memenuhi","Memenuhi Sebagian"))))</f>
        <v/>
      </c>
      <c r="T71" s="31" t="inlineStr">
        <is>
          <t>1.3-2</t>
        </is>
      </c>
      <c r="U71" s="77" t="n"/>
    </row>
    <row r="72" ht="27" customHeight="1">
      <c r="A72" s="77" t="n"/>
      <c r="B72" s="77" t="n"/>
      <c r="C72" s="77" t="n"/>
      <c r="D72" s="77" t="n"/>
      <c r="E72" s="34" t="inlineStr">
        <is>
          <t>D</t>
        </is>
      </c>
      <c r="F72" s="79" t="n"/>
      <c r="G72" s="79" t="n"/>
      <c r="H72" s="79" t="n"/>
      <c r="I72" s="28" t="n">
        <v>4</v>
      </c>
      <c r="J72" s="62" t="inlineStr">
        <is>
          <t>Daftar Anggota UPR dan Bukti Kompetensi Manajemen Risiko</t>
        </is>
      </c>
      <c r="K72" s="78" t="inlineStr"/>
      <c r="L72" s="29" t="n"/>
      <c r="M72" s="10" t="n"/>
      <c r="N72" s="29" t="n"/>
      <c r="O72" s="29" t="n"/>
      <c r="P72" s="29" t="n"/>
      <c r="Q72" s="10" t="n"/>
      <c r="R72" s="30">
        <f>IF(OR(L72="",L72="N/A"),"",IF(L72="Tidak Ada",0,IF(P72="","",IF(P72="Tidak Sesuai",0,IF(AND(N72="Ya",O72="Ya",P72="Sesuai"),1,0.5)))))</f>
        <v/>
      </c>
      <c r="S72" s="30">
        <f>IF(L72="N/A","N/A",IF(R72="","Belum dinilai",IF(R72=1,"Memenuhi",IF(R72=0,"Tidak Memenuhi","Memenuhi Sebagian"))))</f>
        <v/>
      </c>
      <c r="T72" s="31" t="inlineStr">
        <is>
          <t>1.3-2</t>
        </is>
      </c>
      <c r="U72" s="79" t="n"/>
    </row>
    <row r="73" ht="27" customHeight="1">
      <c r="A73" s="77" t="n"/>
      <c r="B73" s="77" t="n"/>
      <c r="C73" s="77" t="n"/>
      <c r="D73" s="77" t="n"/>
      <c r="E73" s="35" t="inlineStr">
        <is>
          <t>E</t>
        </is>
      </c>
      <c r="F73" s="62" t="inlineStr">
        <is>
          <t>E – Kebijakan/Formalitas</t>
        </is>
      </c>
      <c r="G73" s="62" t="inlineStr">
        <is>
          <t>Sudah mengalokasikan sumber daya untuk penerapan manajemen risiko pada tingkat operasional unit kerja namun belum memadai</t>
        </is>
      </c>
      <c r="H73" s="62" t="inlineStr">
        <is>
          <t>Mengalokasikan sumber daya untuk penerapan manajemen risiko pada tingkat operasional unit kerja namun belum memadai</t>
        </is>
      </c>
      <c r="I73" s="28" t="n">
        <v>1</v>
      </c>
      <c r="J73" s="62" t="inlineStr">
        <is>
          <t>DPA/RKA yang Memuat Anggaran Penerapan Manajemen Risiko</t>
        </is>
      </c>
      <c r="K73" s="78" t="inlineStr"/>
      <c r="L73" s="29" t="n"/>
      <c r="M73" s="10" t="n"/>
      <c r="N73" s="29" t="n"/>
      <c r="O73" s="29" t="n"/>
      <c r="P73" s="29" t="n"/>
      <c r="Q73" s="10" t="n"/>
      <c r="R73" s="30">
        <f>IF(OR(L73="",L73="N/A"),"",IF(L73="Tidak Ada",0,IF(P73="","",IF(P73="Tidak Sesuai",0,IF(AND(N73="Ya",O73="Ya",P73="Sesuai"),1,0.5)))))</f>
        <v/>
      </c>
      <c r="S73" s="30">
        <f>IF(L73="N/A","N/A",IF(R73="","Belum dinilai",IF(R73=1,"Memenuhi",IF(R73=0,"Tidak Memenuhi","Memenuhi Sebagian"))))</f>
        <v/>
      </c>
      <c r="T73" s="31" t="inlineStr">
        <is>
          <t>1.3-2</t>
        </is>
      </c>
      <c r="U73" s="63">
        <f>IF(COUNT(R73:R75)=0,"",SUM(R73:R75)/COUNT(R73:R75))</f>
        <v/>
      </c>
    </row>
    <row r="74" ht="27" customHeight="1">
      <c r="A74" s="77" t="n"/>
      <c r="B74" s="77" t="n"/>
      <c r="C74" s="77" t="n"/>
      <c r="D74" s="77" t="n"/>
      <c r="E74" s="35" t="inlineStr">
        <is>
          <t>E</t>
        </is>
      </c>
      <c r="F74" s="77" t="n"/>
      <c r="G74" s="77" t="n"/>
      <c r="H74" s="77" t="n"/>
      <c r="I74" s="28" t="n">
        <v>2</v>
      </c>
      <c r="J74" s="62" t="inlineStr">
        <is>
          <t>SK/Surat Keputusan UPR</t>
        </is>
      </c>
      <c r="K74" s="78" t="inlineStr"/>
      <c r="L74" s="29" t="n"/>
      <c r="M74" s="10" t="n"/>
      <c r="N74" s="29" t="n"/>
      <c r="O74" s="29" t="n"/>
      <c r="P74" s="29" t="n"/>
      <c r="Q74" s="10" t="n"/>
      <c r="R74" s="30">
        <f>IF(OR(L74="",L74="N/A"),"",IF(L74="Tidak Ada",0,IF(P74="","",IF(P74="Tidak Sesuai",0,IF(AND(N74="Ya",O74="Ya",P74="Sesuai"),1,0.5)))))</f>
        <v/>
      </c>
      <c r="S74" s="30">
        <f>IF(L74="N/A","N/A",IF(R74="","Belum dinilai",IF(R74=1,"Memenuhi",IF(R74=0,"Tidak Memenuhi","Memenuhi Sebagian"))))</f>
        <v/>
      </c>
      <c r="T74" s="31" t="inlineStr">
        <is>
          <t>1.3-2</t>
        </is>
      </c>
      <c r="U74" s="77" t="n"/>
    </row>
    <row r="75" ht="27" customHeight="1">
      <c r="A75" s="79" t="n"/>
      <c r="B75" s="79" t="n"/>
      <c r="C75" s="79" t="n"/>
      <c r="D75" s="79" t="n"/>
      <c r="E75" s="35" t="inlineStr">
        <is>
          <t>E</t>
        </is>
      </c>
      <c r="F75" s="79" t="n"/>
      <c r="G75" s="79" t="n"/>
      <c r="H75" s="79" t="n"/>
      <c r="I75" s="28" t="n">
        <v>3</v>
      </c>
      <c r="J75" s="62" t="inlineStr">
        <is>
          <t>Bukti Pelaksanaan Kegiatan Manajemen Risiko</t>
        </is>
      </c>
      <c r="K75" s="78" t="inlineStr"/>
      <c r="L75" s="29" t="n"/>
      <c r="M75" s="10" t="n"/>
      <c r="N75" s="29" t="n"/>
      <c r="O75" s="29" t="n"/>
      <c r="P75" s="29" t="n"/>
      <c r="Q75" s="10" t="n"/>
      <c r="R75" s="30">
        <f>IF(OR(L75="",L75="N/A"),"",IF(L75="Tidak Ada",0,IF(P75="","",IF(P75="Tidak Sesuai",0,IF(AND(N75="Ya",O75="Ya",P75="Sesuai"),1,0.5)))))</f>
        <v/>
      </c>
      <c r="S75" s="30">
        <f>IF(L75="N/A","N/A",IF(R75="","Belum dinilai",IF(R75=1,"Memenuhi",IF(R75=0,"Tidak Memenuhi","Memenuhi Sebagian"))))</f>
        <v/>
      </c>
      <c r="T75" s="31" t="inlineStr">
        <is>
          <t>1.3-2</t>
        </is>
      </c>
      <c r="U75" s="79" t="n"/>
    </row>
    <row r="76" ht="27" customHeight="1">
      <c r="A76" s="56" t="inlineStr">
        <is>
          <t>1.3</t>
        </is>
      </c>
      <c r="B76" s="57" t="inlineStr">
        <is>
          <t>Kepemimpinan yang Kondusif</t>
        </is>
      </c>
      <c r="C76" s="58" t="n">
        <v>3</v>
      </c>
      <c r="D76" s="72" t="inlineStr">
        <is>
          <t>Pimpinan K/L/D menggunakan informasi terkait risiko dalam pengambilan keputusan</t>
        </is>
      </c>
      <c r="E76" s="21" t="inlineStr">
        <is>
          <t>A</t>
        </is>
      </c>
      <c r="F76" s="60" t="inlineStr">
        <is>
          <t>A – Perbaikan Berkelanjutan</t>
        </is>
      </c>
      <c r="G76" s="60" t="inlineStr">
        <is>
          <t>Seluruh pengambilan keputusan strategis K/L/D, strategis unit kerja, dan operasional unit kerja telah mempertimbangkan risiko dan memberikan dampak bagi pencapaian tujuan organisasi</t>
        </is>
      </c>
      <c r="H76" s="60" t="inlineStr">
        <is>
          <t>Seluruh pengambilan keputusan strategis K/L/D, strategis unit kerja, dan operasional unit kerja telah mempertimbangkan risiko dan memberikan dampak bagi pencapaian tujuan organisasi</t>
        </is>
      </c>
      <c r="I76" s="22" t="n">
        <v>1</v>
      </c>
      <c r="J76" s="60" t="inlineStr">
        <is>
          <t>Telaahan Staf/Nota Dinas Hasil Analisis Risiko</t>
        </is>
      </c>
      <c r="K76" s="76" t="inlineStr"/>
      <c r="L76" s="23" t="n"/>
      <c r="M76" s="24" t="n"/>
      <c r="N76" s="23" t="n"/>
      <c r="O76" s="23" t="n"/>
      <c r="P76" s="23" t="n"/>
      <c r="Q76" s="24" t="n"/>
      <c r="R76" s="25">
        <f>IF(OR(L76="",L76="N/A"),"",IF(L76="Tidak Ada",0,IF(P76="","",IF(P76="Tidak Sesuai",0,IF(AND(N76="Ya",O76="Ya",P76="Sesuai"),1,0.5)))))</f>
        <v/>
      </c>
      <c r="S76" s="25">
        <f>IF(L76="N/A","N/A",IF(R76="","Belum dinilai",IF(R76=1,"Memenuhi",IF(R76=0,"Tidak Memenuhi","Memenuhi Sebagian"))))</f>
        <v/>
      </c>
      <c r="T76" s="26" t="inlineStr">
        <is>
          <t>1.3-3</t>
        </is>
      </c>
      <c r="U76" s="61">
        <f>IF(COUNT(R76:R79)=0,"",SUM(R76:R79)/COUNT(R76:R79))</f>
        <v/>
      </c>
    </row>
    <row r="77" ht="39" customHeight="1">
      <c r="A77" s="77" t="n"/>
      <c r="B77" s="77" t="n"/>
      <c r="C77" s="77" t="n"/>
      <c r="D77" s="77" t="n"/>
      <c r="E77" s="27" t="inlineStr">
        <is>
          <t>A</t>
        </is>
      </c>
      <c r="F77" s="77" t="n"/>
      <c r="G77" s="77" t="n"/>
      <c r="H77" s="77" t="n"/>
      <c r="I77" s="28" t="n">
        <v>2</v>
      </c>
      <c r="J77" s="62" t="inlineStr">
        <is>
          <t>Notulen/Notula Rapat Pimpinan yang Memuat Hasil Manajemen Risiko dan Keputusan</t>
        </is>
      </c>
      <c r="K77" s="78" t="inlineStr"/>
      <c r="L77" s="29" t="n"/>
      <c r="M77" s="10" t="n"/>
      <c r="N77" s="29" t="n"/>
      <c r="O77" s="29" t="n"/>
      <c r="P77" s="29" t="n"/>
      <c r="Q77" s="10" t="n"/>
      <c r="R77" s="30">
        <f>IF(OR(L77="",L77="N/A"),"",IF(L77="Tidak Ada",0,IF(P77="","",IF(P77="Tidak Sesuai",0,IF(AND(N77="Ya",O77="Ya",P77="Sesuai"),1,0.5)))))</f>
        <v/>
      </c>
      <c r="S77" s="30">
        <f>IF(L77="N/A","N/A",IF(R77="","Belum dinilai",IF(R77=1,"Memenuhi",IF(R77=0,"Tidak Memenuhi","Memenuhi Sebagian"))))</f>
        <v/>
      </c>
      <c r="T77" s="31" t="inlineStr">
        <is>
          <t>1.3-3</t>
        </is>
      </c>
      <c r="U77" s="77" t="n"/>
    </row>
    <row r="78" ht="39" customHeight="1">
      <c r="A78" s="77" t="n"/>
      <c r="B78" s="77" t="n"/>
      <c r="C78" s="77" t="n"/>
      <c r="D78" s="77" t="n"/>
      <c r="E78" s="27" t="inlineStr">
        <is>
          <t>A</t>
        </is>
      </c>
      <c r="F78" s="77" t="n"/>
      <c r="G78" s="77" t="n"/>
      <c r="H78" s="77" t="n"/>
      <c r="I78" s="28" t="n">
        <v>3</v>
      </c>
      <c r="J78" s="62" t="inlineStr">
        <is>
          <t>Dokumen Penetapan Prioritas Kegiatan yang Menggunakan Hasil Penilaian Risiko</t>
        </is>
      </c>
      <c r="K78" s="78" t="inlineStr"/>
      <c r="L78" s="29" t="n"/>
      <c r="M78" s="10" t="n"/>
      <c r="N78" s="29" t="n"/>
      <c r="O78" s="29" t="n"/>
      <c r="P78" s="29" t="n"/>
      <c r="Q78" s="10" t="n"/>
      <c r="R78" s="30">
        <f>IF(OR(L78="",L78="N/A"),"",IF(L78="Tidak Ada",0,IF(P78="","",IF(P78="Tidak Sesuai",0,IF(AND(N78="Ya",O78="Ya",P78="Sesuai"),1,0.5)))))</f>
        <v/>
      </c>
      <c r="S78" s="30">
        <f>IF(L78="N/A","N/A",IF(R78="","Belum dinilai",IF(R78=1,"Memenuhi",IF(R78=0,"Tidak Memenuhi","Memenuhi Sebagian"))))</f>
        <v/>
      </c>
      <c r="T78" s="31" t="inlineStr">
        <is>
          <t>1.3-3</t>
        </is>
      </c>
      <c r="U78" s="77" t="n"/>
    </row>
    <row r="79" ht="27" customHeight="1">
      <c r="A79" s="77" t="n"/>
      <c r="B79" s="77" t="n"/>
      <c r="C79" s="77" t="n"/>
      <c r="D79" s="77" t="n"/>
      <c r="E79" s="27" t="inlineStr">
        <is>
          <t>A</t>
        </is>
      </c>
      <c r="F79" s="79" t="n"/>
      <c r="G79" s="79" t="n"/>
      <c r="H79" s="79" t="n"/>
      <c r="I79" s="28" t="n">
        <v>4</v>
      </c>
      <c r="J79" s="62" t="inlineStr">
        <is>
          <t>Bukti Dampak Keputusan terhadap Pencapaian Tujuan/Kinerja</t>
        </is>
      </c>
      <c r="K79" s="78" t="inlineStr"/>
      <c r="L79" s="29" t="n"/>
      <c r="M79" s="10" t="n"/>
      <c r="N79" s="29" t="n"/>
      <c r="O79" s="29" t="n"/>
      <c r="P79" s="29" t="n"/>
      <c r="Q79" s="10" t="n"/>
      <c r="R79" s="30">
        <f>IF(OR(L79="",L79="N/A"),"",IF(L79="Tidak Ada",0,IF(P79="","",IF(P79="Tidak Sesuai",0,IF(AND(N79="Ya",O79="Ya",P79="Sesuai"),1,0.5)))))</f>
        <v/>
      </c>
      <c r="S79" s="30">
        <f>IF(L79="N/A","N/A",IF(R79="","Belum dinilai",IF(R79=1,"Memenuhi",IF(R79=0,"Tidak Memenuhi","Memenuhi Sebagian"))))</f>
        <v/>
      </c>
      <c r="T79" s="31" t="inlineStr">
        <is>
          <t>1.3-3</t>
        </is>
      </c>
      <c r="U79" s="79" t="n"/>
    </row>
    <row r="80" ht="27" customHeight="1">
      <c r="A80" s="77" t="n"/>
      <c r="B80" s="77" t="n"/>
      <c r="C80" s="77" t="n"/>
      <c r="D80" s="77" t="n"/>
      <c r="E80" s="32" t="inlineStr">
        <is>
          <t>B</t>
        </is>
      </c>
      <c r="F80" s="62" t="inlineStr">
        <is>
          <t>B – Evaluasi &amp; Tindak Lanjut</t>
        </is>
      </c>
      <c r="G80" s="62" t="inlineStr">
        <is>
          <t>Seluruh pengambilan keputusan strategis K/L/D, strategis unit kerja, dan operasional unit kerja telah mempertimbangkan risiko</t>
        </is>
      </c>
      <c r="H80" s="62" t="inlineStr">
        <is>
          <t>Seluruh pengambilan keputusan strategis K/L/D, strategis unit kerja, dan operasional unit kerja telah mempertimbangkan risiko</t>
        </is>
      </c>
      <c r="I80" s="28" t="n">
        <v>1</v>
      </c>
      <c r="J80" s="62" t="inlineStr">
        <is>
          <t>Telaahan Staf/Nota Dinas Hasil Analisis Risiko</t>
        </is>
      </c>
      <c r="K80" s="78" t="inlineStr"/>
      <c r="L80" s="29" t="n"/>
      <c r="M80" s="10" t="n"/>
      <c r="N80" s="29" t="n"/>
      <c r="O80" s="29" t="n"/>
      <c r="P80" s="29" t="n"/>
      <c r="Q80" s="10" t="n"/>
      <c r="R80" s="30">
        <f>IF(OR(L80="",L80="N/A"),"",IF(L80="Tidak Ada",0,IF(P80="","",IF(P80="Tidak Sesuai",0,IF(AND(N80="Ya",O80="Ya",P80="Sesuai"),1,0.5)))))</f>
        <v/>
      </c>
      <c r="S80" s="30">
        <f>IF(L80="N/A","N/A",IF(R80="","Belum dinilai",IF(R80=1,"Memenuhi",IF(R80=0,"Tidak Memenuhi","Memenuhi Sebagian"))))</f>
        <v/>
      </c>
      <c r="T80" s="31" t="inlineStr">
        <is>
          <t>1.3-3</t>
        </is>
      </c>
      <c r="U80" s="63">
        <f>IF(COUNT(R80:R82)=0,"",SUM(R80:R82)/COUNT(R80:R82))</f>
        <v/>
      </c>
    </row>
    <row r="81" ht="39" customHeight="1">
      <c r="A81" s="77" t="n"/>
      <c r="B81" s="77" t="n"/>
      <c r="C81" s="77" t="n"/>
      <c r="D81" s="77" t="n"/>
      <c r="E81" s="32" t="inlineStr">
        <is>
          <t>B</t>
        </is>
      </c>
      <c r="F81" s="77" t="n"/>
      <c r="G81" s="77" t="n"/>
      <c r="H81" s="77" t="n"/>
      <c r="I81" s="28" t="n">
        <v>2</v>
      </c>
      <c r="J81" s="62" t="inlineStr">
        <is>
          <t>Notulen/Notula Rapat Pimpinan yang Memuat Hasil Manajemen Risiko dan Keputusan</t>
        </is>
      </c>
      <c r="K81" s="78" t="inlineStr"/>
      <c r="L81" s="29" t="n"/>
      <c r="M81" s="10" t="n"/>
      <c r="N81" s="29" t="n"/>
      <c r="O81" s="29" t="n"/>
      <c r="P81" s="29" t="n"/>
      <c r="Q81" s="10" t="n"/>
      <c r="R81" s="30">
        <f>IF(OR(L81="",L81="N/A"),"",IF(L81="Tidak Ada",0,IF(P81="","",IF(P81="Tidak Sesuai",0,IF(AND(N81="Ya",O81="Ya",P81="Sesuai"),1,0.5)))))</f>
        <v/>
      </c>
      <c r="S81" s="30">
        <f>IF(L81="N/A","N/A",IF(R81="","Belum dinilai",IF(R81=1,"Memenuhi",IF(R81=0,"Tidak Memenuhi","Memenuhi Sebagian"))))</f>
        <v/>
      </c>
      <c r="T81" s="31" t="inlineStr">
        <is>
          <t>1.3-3</t>
        </is>
      </c>
      <c r="U81" s="77" t="n"/>
    </row>
    <row r="82" ht="39" customHeight="1">
      <c r="A82" s="77" t="n"/>
      <c r="B82" s="77" t="n"/>
      <c r="C82" s="77" t="n"/>
      <c r="D82" s="77" t="n"/>
      <c r="E82" s="32" t="inlineStr">
        <is>
          <t>B</t>
        </is>
      </c>
      <c r="F82" s="79" t="n"/>
      <c r="G82" s="79" t="n"/>
      <c r="H82" s="79" t="n"/>
      <c r="I82" s="28" t="n">
        <v>3</v>
      </c>
      <c r="J82" s="62" t="inlineStr">
        <is>
          <t>Dokumen Penetapan Prioritas Kegiatan yang Menggunakan Hasil Penilaian Risiko</t>
        </is>
      </c>
      <c r="K82" s="78" t="inlineStr"/>
      <c r="L82" s="29" t="n"/>
      <c r="M82" s="10" t="n"/>
      <c r="N82" s="29" t="n"/>
      <c r="O82" s="29" t="n"/>
      <c r="P82" s="29" t="n"/>
      <c r="Q82" s="10" t="n"/>
      <c r="R82" s="30">
        <f>IF(OR(L82="",L82="N/A"),"",IF(L82="Tidak Ada",0,IF(P82="","",IF(P82="Tidak Sesuai",0,IF(AND(N82="Ya",O82="Ya",P82="Sesuai"),1,0.5)))))</f>
        <v/>
      </c>
      <c r="S82" s="30">
        <f>IF(L82="N/A","N/A",IF(R82="","Belum dinilai",IF(R82=1,"Memenuhi",IF(R82=0,"Tidak Memenuhi","Memenuhi Sebagian"))))</f>
        <v/>
      </c>
      <c r="T82" s="31" t="inlineStr">
        <is>
          <t>1.3-3</t>
        </is>
      </c>
      <c r="U82" s="79" t="n"/>
    </row>
    <row r="83" ht="27" customHeight="1">
      <c r="A83" s="77" t="n"/>
      <c r="B83" s="77" t="n"/>
      <c r="C83" s="77" t="n"/>
      <c r="D83" s="77" t="n"/>
      <c r="E83" s="33" t="inlineStr">
        <is>
          <t>C</t>
        </is>
      </c>
      <c r="F83" s="62" t="inlineStr">
        <is>
          <t>C – Implementasi</t>
        </is>
      </c>
      <c r="G83" s="62" t="inlineStr">
        <is>
          <t>Seluruh pengambilan keputusan strategis unit kerja dan operasional unit kerja telah mempertimbangkan risiko</t>
        </is>
      </c>
      <c r="H83" s="62" t="inlineStr">
        <is>
          <t>Seluruh pengambilan keputusan strategis unit kerja dan operasional unit kerja telah mempertimbangkan risiko</t>
        </is>
      </c>
      <c r="I83" s="28" t="n">
        <v>1</v>
      </c>
      <c r="J83" s="71" t="inlineStr">
        <is>
          <t>Telaahan Staf/Nota Dinas Hasil Analisis Risiko Unit Kerja</t>
        </is>
      </c>
      <c r="K83" s="80" t="inlineStr"/>
      <c r="L83" s="29" t="inlineStr">
        <is>
          <t>Ada</t>
        </is>
      </c>
      <c r="M83" s="66" t="inlineStr">
        <is>
          <t>Renja, SK Renaksi</t>
        </is>
      </c>
      <c r="N83" s="29" t="inlineStr">
        <is>
          <t>Ya</t>
        </is>
      </c>
      <c r="O83" s="29" t="inlineStr">
        <is>
          <t>Ya</t>
        </is>
      </c>
      <c r="P83" s="29" t="inlineStr">
        <is>
          <t>Sesuai</t>
        </is>
      </c>
      <c r="Q83" s="10" t="n"/>
      <c r="R83" s="30">
        <f>IF(OR(L83="",L83="N/A"),"",IF(L83="Tidak Ada",0,IF(P83="","",IF(P83="Tidak Sesuai",0,IF(AND(N83="Ya",O83="Ya",P83="Sesuai"),1,0.5)))))</f>
        <v/>
      </c>
      <c r="S83" s="30">
        <f>IF(L83="N/A","N/A",IF(R83="","Belum dinilai",IF(R83=1,"Memenuhi",IF(R83=0,"Tidak Memenuhi","Memenuhi Sebagian"))))</f>
        <v/>
      </c>
      <c r="T83" s="31" t="inlineStr">
        <is>
          <t>1.3-3</t>
        </is>
      </c>
      <c r="U83" s="63">
        <f>IF(COUNT(R83:R85)=0,"",SUM(R83:R85)/COUNT(R83:R85))</f>
        <v/>
      </c>
    </row>
    <row r="84" ht="39" customHeight="1">
      <c r="A84" s="77" t="n"/>
      <c r="B84" s="77" t="n"/>
      <c r="C84" s="77" t="n"/>
      <c r="D84" s="77" t="n"/>
      <c r="E84" s="33" t="inlineStr">
        <is>
          <t>C</t>
        </is>
      </c>
      <c r="F84" s="77" t="n"/>
      <c r="G84" s="77" t="n"/>
      <c r="H84" s="77" t="n"/>
      <c r="I84" s="28" t="n">
        <v>2</v>
      </c>
      <c r="J84" s="71" t="inlineStr">
        <is>
          <t>Notulen/Notula Rapat Pimpinan Unit Kerja yang Memuat Hasil Manajemen Risiko</t>
        </is>
      </c>
      <c r="K84" s="80" t="inlineStr"/>
      <c r="L84" s="29" t="n"/>
      <c r="M84" s="10" t="n"/>
      <c r="N84" s="29" t="n"/>
      <c r="O84" s="29" t="n"/>
      <c r="P84" s="29" t="n"/>
      <c r="Q84" s="10" t="n"/>
      <c r="R84" s="30">
        <f>IF(OR(L84="",L84="N/A"),"",IF(L84="Tidak Ada",0,IF(P84="","",IF(P84="Tidak Sesuai",0,IF(AND(N84="Ya",O84="Ya",P84="Sesuai"),1,0.5)))))</f>
        <v/>
      </c>
      <c r="S84" s="30">
        <f>IF(L84="N/A","N/A",IF(R84="","Belum dinilai",IF(R84=1,"Memenuhi",IF(R84=0,"Tidak Memenuhi","Memenuhi Sebagian"))))</f>
        <v/>
      </c>
      <c r="T84" s="31" t="inlineStr">
        <is>
          <t>1.3-3</t>
        </is>
      </c>
      <c r="U84" s="77" t="n"/>
    </row>
    <row r="85" ht="39" customHeight="1">
      <c r="A85" s="77" t="n"/>
      <c r="B85" s="77" t="n"/>
      <c r="C85" s="77" t="n"/>
      <c r="D85" s="77" t="n"/>
      <c r="E85" s="33" t="inlineStr">
        <is>
          <t>C</t>
        </is>
      </c>
      <c r="F85" s="79" t="n"/>
      <c r="G85" s="79" t="n"/>
      <c r="H85" s="79" t="n"/>
      <c r="I85" s="28" t="n">
        <v>3</v>
      </c>
      <c r="J85" s="71" t="inlineStr">
        <is>
          <t>Dokumen Penetapan Prioritas Kegiatan Unit Kerja yang Menggunakan Hasil Penilaian Risiko</t>
        </is>
      </c>
      <c r="K85" s="80" t="inlineStr"/>
      <c r="L85" s="29" t="n"/>
      <c r="M85" s="10" t="n"/>
      <c r="N85" s="29" t="n"/>
      <c r="O85" s="29" t="n"/>
      <c r="P85" s="29" t="n"/>
      <c r="Q85" s="10" t="n"/>
      <c r="R85" s="30">
        <f>IF(OR(L85="",L85="N/A"),"",IF(L85="Tidak Ada",0,IF(P85="","",IF(P85="Tidak Sesuai",0,IF(AND(N85="Ya",O85="Ya",P85="Sesuai"),1,0.5)))))</f>
        <v/>
      </c>
      <c r="S85" s="30">
        <f>IF(L85="N/A","N/A",IF(R85="","Belum dinilai",IF(R85=1,"Memenuhi",IF(R85=0,"Tidak Memenuhi","Memenuhi Sebagian"))))</f>
        <v/>
      </c>
      <c r="T85" s="31" t="inlineStr">
        <is>
          <t>1.3-3</t>
        </is>
      </c>
      <c r="U85" s="79" t="n"/>
    </row>
    <row r="86" ht="27" customHeight="1">
      <c r="A86" s="77" t="n"/>
      <c r="B86" s="77" t="n"/>
      <c r="C86" s="77" t="n"/>
      <c r="D86" s="77" t="n"/>
      <c r="E86" s="34" t="inlineStr">
        <is>
          <t>D</t>
        </is>
      </c>
      <c r="F86" s="62" t="inlineStr">
        <is>
          <t>D – Komunikasi &amp; Pemahaman</t>
        </is>
      </c>
      <c r="G86" s="62" t="inlineStr">
        <is>
          <t>Seluruh pengambilan keputusan operasional unit kerja telah mempertimbangkan risiko</t>
        </is>
      </c>
      <c r="H86" s="62" t="inlineStr">
        <is>
          <t>Seluruh pengambilan keputusan operasional unit kerja telah mempertimbangkan risiko</t>
        </is>
      </c>
      <c r="I86" s="28" t="n">
        <v>1</v>
      </c>
      <c r="J86" s="62" t="inlineStr">
        <is>
          <t>Telaahan Staf/Nota Dinas Hasil Analisis Risiko Operasional</t>
        </is>
      </c>
      <c r="K86" s="78" t="inlineStr"/>
      <c r="L86" s="29" t="n"/>
      <c r="M86" s="10" t="n"/>
      <c r="N86" s="29" t="n"/>
      <c r="O86" s="29" t="n"/>
      <c r="P86" s="29" t="n"/>
      <c r="Q86" s="10" t="n"/>
      <c r="R86" s="30">
        <f>IF(OR(L86="",L86="N/A"),"",IF(L86="Tidak Ada",0,IF(P86="","",IF(P86="Tidak Sesuai",0,IF(AND(N86="Ya",O86="Ya",P86="Sesuai"),1,0.5)))))</f>
        <v/>
      </c>
      <c r="S86" s="30">
        <f>IF(L86="N/A","N/A",IF(R86="","Belum dinilai",IF(R86=1,"Memenuhi",IF(R86=0,"Tidak Memenuhi","Memenuhi Sebagian"))))</f>
        <v/>
      </c>
      <c r="T86" s="31" t="inlineStr">
        <is>
          <t>1.3-3</t>
        </is>
      </c>
      <c r="U86" s="63">
        <f>IF(COUNT(R86:R87)=0,"",SUM(R86:R87)/COUNT(R86:R87))</f>
        <v/>
      </c>
    </row>
    <row r="87" ht="39" customHeight="1">
      <c r="A87" s="77" t="n"/>
      <c r="B87" s="77" t="n"/>
      <c r="C87" s="77" t="n"/>
      <c r="D87" s="77" t="n"/>
      <c r="E87" s="34" t="inlineStr">
        <is>
          <t>D</t>
        </is>
      </c>
      <c r="F87" s="79" t="n"/>
      <c r="G87" s="79" t="n"/>
      <c r="H87" s="79" t="n"/>
      <c r="I87" s="28" t="n">
        <v>2</v>
      </c>
      <c r="J87" s="62" t="inlineStr">
        <is>
          <t>Notulen/Notula Rapat Pimpinan/Koordinasi yang Memuat Hasil Manajemen Risiko Operasional</t>
        </is>
      </c>
      <c r="K87" s="78" t="inlineStr"/>
      <c r="L87" s="29" t="n"/>
      <c r="M87" s="10" t="n"/>
      <c r="N87" s="29" t="n"/>
      <c r="O87" s="29" t="n"/>
      <c r="P87" s="29" t="n"/>
      <c r="Q87" s="10" t="n"/>
      <c r="R87" s="30">
        <f>IF(OR(L87="",L87="N/A"),"",IF(L87="Tidak Ada",0,IF(P87="","",IF(P87="Tidak Sesuai",0,IF(AND(N87="Ya",O87="Ya",P87="Sesuai"),1,0.5)))))</f>
        <v/>
      </c>
      <c r="S87" s="30">
        <f>IF(L87="N/A","N/A",IF(R87="","Belum dinilai",IF(R87=1,"Memenuhi",IF(R87=0,"Tidak Memenuhi","Memenuhi Sebagian"))))</f>
        <v/>
      </c>
      <c r="T87" s="31" t="inlineStr">
        <is>
          <t>1.3-3</t>
        </is>
      </c>
      <c r="U87" s="79" t="n"/>
    </row>
    <row r="88" ht="27" customHeight="1">
      <c r="A88" s="77" t="n"/>
      <c r="B88" s="77" t="n"/>
      <c r="C88" s="77" t="n"/>
      <c r="D88" s="77" t="n"/>
      <c r="E88" s="35" t="inlineStr">
        <is>
          <t>E</t>
        </is>
      </c>
      <c r="F88" s="62" t="inlineStr">
        <is>
          <t>E – Kebijakan/Formalitas</t>
        </is>
      </c>
      <c r="G88" s="62" t="inlineStr">
        <is>
          <t>Sebagian pengambilan keputusan operasional unit kerja telah mempertimbangkan risiko</t>
        </is>
      </c>
      <c r="H88" s="62" t="inlineStr">
        <is>
          <t>Sebagian pengambilan keputusan operasional unit kerja telah mempertimbangkan risiko</t>
        </is>
      </c>
      <c r="I88" s="28" t="n">
        <v>1</v>
      </c>
      <c r="J88" s="62" t="inlineStr">
        <is>
          <t>Telaahan Staf/Nota Dinas Hasil Analisis Risiko Operasional</t>
        </is>
      </c>
      <c r="K88" s="78" t="inlineStr"/>
      <c r="L88" s="29" t="n"/>
      <c r="M88" s="10" t="n"/>
      <c r="N88" s="29" t="n"/>
      <c r="O88" s="29" t="n"/>
      <c r="P88" s="29" t="n"/>
      <c r="Q88" s="10" t="n"/>
      <c r="R88" s="30">
        <f>IF(OR(L88="",L88="N/A"),"",IF(L88="Tidak Ada",0,IF(P88="","",IF(P88="Tidak Sesuai",0,IF(AND(N88="Ya",O88="Ya",P88="Sesuai"),1,0.5)))))</f>
        <v/>
      </c>
      <c r="S88" s="30">
        <f>IF(L88="N/A","N/A",IF(R88="","Belum dinilai",IF(R88=1,"Memenuhi",IF(R88=0,"Tidak Memenuhi","Memenuhi Sebagian"))))</f>
        <v/>
      </c>
      <c r="T88" s="31" t="inlineStr">
        <is>
          <t>1.3-3</t>
        </is>
      </c>
      <c r="U88" s="63">
        <f>IF(COUNT(R88:R89)=0,"",SUM(R88:R89)/COUNT(R88:R89))</f>
        <v/>
      </c>
    </row>
    <row r="89" ht="39" customHeight="1">
      <c r="A89" s="79" t="n"/>
      <c r="B89" s="79" t="n"/>
      <c r="C89" s="79" t="n"/>
      <c r="D89" s="79" t="n"/>
      <c r="E89" s="35" t="inlineStr">
        <is>
          <t>E</t>
        </is>
      </c>
      <c r="F89" s="79" t="n"/>
      <c r="G89" s="79" t="n"/>
      <c r="H89" s="79" t="n"/>
      <c r="I89" s="28" t="n">
        <v>2</v>
      </c>
      <c r="J89" s="62" t="inlineStr">
        <is>
          <t>Notulen/Notula Rapat yang Memuat Hasil Manajemen Risiko Operasional</t>
        </is>
      </c>
      <c r="K89" s="78" t="inlineStr"/>
      <c r="L89" s="29" t="n"/>
      <c r="M89" s="10" t="n"/>
      <c r="N89" s="29" t="n"/>
      <c r="O89" s="29" t="n"/>
      <c r="P89" s="29" t="n"/>
      <c r="Q89" s="10" t="n"/>
      <c r="R89" s="30">
        <f>IF(OR(L89="",L89="N/A"),"",IF(L89="Tidak Ada",0,IF(P89="","",IF(P89="Tidak Sesuai",0,IF(AND(N89="Ya",O89="Ya",P89="Sesuai"),1,0.5)))))</f>
        <v/>
      </c>
      <c r="S89" s="30">
        <f>IF(L89="N/A","N/A",IF(R89="","Belum dinilai",IF(R89=1,"Memenuhi",IF(R89=0,"Tidak Memenuhi","Memenuhi Sebagian"))))</f>
        <v/>
      </c>
      <c r="T89" s="31" t="inlineStr">
        <is>
          <t>1.3-3</t>
        </is>
      </c>
      <c r="U89" s="79" t="n"/>
    </row>
    <row r="90" ht="39" customHeight="1">
      <c r="A90" s="56" t="inlineStr">
        <is>
          <t>1.3</t>
        </is>
      </c>
      <c r="B90" s="57" t="inlineStr">
        <is>
          <t>Kepemimpinan yang Kondusif</t>
        </is>
      </c>
      <c r="C90" s="58" t="n">
        <v>4</v>
      </c>
      <c r="D90" s="59" t="inlineStr">
        <is>
          <t>Pimpinan K/L/D mendorong penerapan manajemen risiko, melalui penggunaan kinerja penerapan manajemen risiko sebagai indikator penilaian kinerja</t>
        </is>
      </c>
      <c r="E90" s="21" t="inlineStr">
        <is>
          <t>A</t>
        </is>
      </c>
      <c r="F90" s="60" t="inlineStr">
        <is>
          <t>A – Perbaikan Berkelanjutan</t>
        </is>
      </c>
      <c r="G90" s="60" t="inlineStr">
        <is>
          <t>Kinerja penerapan manajemen risiko digunakan sebagai dasar penilaian kinerja pada seluruh UPR tingkatan operasional unit kerja, seluruh UPR tingkatan strategis unit kerja, dan UPR tingkat strategis K/L/D secara memadai dan telah dievaluasi pencapaiannya</t>
        </is>
      </c>
      <c r="H90" s="60" t="inlineStr">
        <is>
          <t>Kinerja penerapan manajemen risiko digunakan sebagai dasar penilaian kinerja pada seluruh UPR tingkatan operasional unit kerja, seluruh UPR tingkatan strategis unit kerja, dan UPR tingkat strategis K/L/D secara memadai dan telah dievaluasi pencapaiannya</t>
        </is>
      </c>
      <c r="I90" s="22" t="n">
        <v>1</v>
      </c>
      <c r="J90" s="60" t="inlineStr">
        <is>
          <t>Renstra/Renja/Perjanjian Kinerja yang Memuat Indikator Kinerja Penerapan Manajemen Risiko</t>
        </is>
      </c>
      <c r="K90" s="76" t="inlineStr"/>
      <c r="L90" s="23" t="n"/>
      <c r="M90" s="24" t="n"/>
      <c r="N90" s="23" t="n"/>
      <c r="O90" s="23" t="n"/>
      <c r="P90" s="23" t="n"/>
      <c r="Q90" s="24" t="n"/>
      <c r="R90" s="25">
        <f>IF(OR(L90="",L90="N/A"),"",IF(L90="Tidak Ada",0,IF(P90="","",IF(P90="Tidak Sesuai",0,IF(AND(N90="Ya",O90="Ya",P90="Sesuai"),1,0.5)))))</f>
        <v/>
      </c>
      <c r="S90" s="25">
        <f>IF(L90="N/A","N/A",IF(R90="","Belum dinilai",IF(R90=1,"Memenuhi",IF(R90=0,"Tidak Memenuhi","Memenuhi Sebagian"))))</f>
        <v/>
      </c>
      <c r="T90" s="26" t="inlineStr">
        <is>
          <t>1.3-4</t>
        </is>
      </c>
      <c r="U90" s="61">
        <f>IF(COUNT(R90:R93)=0,"",SUM(R90:R93)/COUNT(R90:R93))</f>
        <v/>
      </c>
    </row>
    <row r="91" ht="39" customHeight="1">
      <c r="A91" s="77" t="n"/>
      <c r="B91" s="77" t="n"/>
      <c r="C91" s="77" t="n"/>
      <c r="D91" s="77" t="n"/>
      <c r="E91" s="27" t="inlineStr">
        <is>
          <t>A</t>
        </is>
      </c>
      <c r="F91" s="77" t="n"/>
      <c r="G91" s="77" t="n"/>
      <c r="H91" s="77" t="n"/>
      <c r="I91" s="28" t="n">
        <v>2</v>
      </c>
      <c r="J91" s="62" t="inlineStr">
        <is>
          <t>SKP Pejabat/Pegawai yang Memuat Indikator Kinerja Penerapan Manajemen Risiko</t>
        </is>
      </c>
      <c r="K91" s="78" t="inlineStr"/>
      <c r="L91" s="29" t="n"/>
      <c r="M91" s="10" t="n"/>
      <c r="N91" s="29" t="n"/>
      <c r="O91" s="29" t="n"/>
      <c r="P91" s="29" t="n"/>
      <c r="Q91" s="10" t="n"/>
      <c r="R91" s="30">
        <f>IF(OR(L91="",L91="N/A"),"",IF(L91="Tidak Ada",0,IF(P91="","",IF(P91="Tidak Sesuai",0,IF(AND(N91="Ya",O91="Ya",P91="Sesuai"),1,0.5)))))</f>
        <v/>
      </c>
      <c r="S91" s="30">
        <f>IF(L91="N/A","N/A",IF(R91="","Belum dinilai",IF(R91=1,"Memenuhi",IF(R91=0,"Tidak Memenuhi","Memenuhi Sebagian"))))</f>
        <v/>
      </c>
      <c r="T91" s="31" t="inlineStr">
        <is>
          <t>1.3-4</t>
        </is>
      </c>
      <c r="U91" s="77" t="n"/>
    </row>
    <row r="92" ht="39" customHeight="1">
      <c r="A92" s="77" t="n"/>
      <c r="B92" s="77" t="n"/>
      <c r="C92" s="77" t="n"/>
      <c r="D92" s="77" t="n"/>
      <c r="E92" s="27" t="inlineStr">
        <is>
          <t>A</t>
        </is>
      </c>
      <c r="F92" s="77" t="n"/>
      <c r="G92" s="77" t="n"/>
      <c r="H92" s="77" t="n"/>
      <c r="I92" s="28" t="n">
        <v>3</v>
      </c>
      <c r="J92" s="62" t="inlineStr">
        <is>
          <t>Laporan Capaian Kinerja Penerapan Manajemen Risiko</t>
        </is>
      </c>
      <c r="K92" s="78" t="inlineStr"/>
      <c r="L92" s="29" t="n"/>
      <c r="M92" s="10" t="n"/>
      <c r="N92" s="29" t="n"/>
      <c r="O92" s="29" t="n"/>
      <c r="P92" s="29" t="n"/>
      <c r="Q92" s="10" t="n"/>
      <c r="R92" s="30">
        <f>IF(OR(L92="",L92="N/A"),"",IF(L92="Tidak Ada",0,IF(P92="","",IF(P92="Tidak Sesuai",0,IF(AND(N92="Ya",O92="Ya",P92="Sesuai"),1,0.5)))))</f>
        <v/>
      </c>
      <c r="S92" s="30">
        <f>IF(L92="N/A","N/A",IF(R92="","Belum dinilai",IF(R92=1,"Memenuhi",IF(R92=0,"Tidak Memenuhi","Memenuhi Sebagian"))))</f>
        <v/>
      </c>
      <c r="T92" s="31" t="inlineStr">
        <is>
          <t>1.3-4</t>
        </is>
      </c>
      <c r="U92" s="77" t="n"/>
    </row>
    <row r="93" ht="39" customHeight="1">
      <c r="A93" s="77" t="n"/>
      <c r="B93" s="77" t="n"/>
      <c r="C93" s="77" t="n"/>
      <c r="D93" s="77" t="n"/>
      <c r="E93" s="27" t="inlineStr">
        <is>
          <t>A</t>
        </is>
      </c>
      <c r="F93" s="79" t="n"/>
      <c r="G93" s="79" t="n"/>
      <c r="H93" s="79" t="n"/>
      <c r="I93" s="28" t="n">
        <v>4</v>
      </c>
      <c r="J93" s="62" t="inlineStr">
        <is>
          <t>Laporan Evaluasi Pencapaian Kinerja Penerapan Manajemen Risiko</t>
        </is>
      </c>
      <c r="K93" s="78" t="inlineStr"/>
      <c r="L93" s="29" t="n"/>
      <c r="M93" s="10" t="n"/>
      <c r="N93" s="29" t="n"/>
      <c r="O93" s="29" t="n"/>
      <c r="P93" s="29" t="n"/>
      <c r="Q93" s="10" t="n"/>
      <c r="R93" s="30">
        <f>IF(OR(L93="",L93="N/A"),"",IF(L93="Tidak Ada",0,IF(P93="","",IF(P93="Tidak Sesuai",0,IF(AND(N93="Ya",O93="Ya",P93="Sesuai"),1,0.5)))))</f>
        <v/>
      </c>
      <c r="S93" s="30">
        <f>IF(L93="N/A","N/A",IF(R93="","Belum dinilai",IF(R93=1,"Memenuhi",IF(R93=0,"Tidak Memenuhi","Memenuhi Sebagian"))))</f>
        <v/>
      </c>
      <c r="T93" s="31" t="inlineStr">
        <is>
          <t>1.3-4</t>
        </is>
      </c>
      <c r="U93" s="79" t="n"/>
    </row>
    <row r="94" ht="39" customHeight="1">
      <c r="A94" s="77" t="n"/>
      <c r="B94" s="77" t="n"/>
      <c r="C94" s="77" t="n"/>
      <c r="D94" s="77" t="n"/>
      <c r="E94" s="32" t="inlineStr">
        <is>
          <t>B</t>
        </is>
      </c>
      <c r="F94" s="62" t="inlineStr">
        <is>
          <t>B – Evaluasi &amp; Tindak Lanjut</t>
        </is>
      </c>
      <c r="G94" s="62" t="inlineStr">
        <is>
          <t>Kinerja penerapan manajemen risiko digunakan sebagai dasar penilaian kinerja pada seluruh UPR tingkatan operasional unit kerja, seluruh UPR tingkatan strategis unit kerja, dan UPR tingkat strategis K/L/D secara memadai</t>
        </is>
      </c>
      <c r="H94" s="62" t="inlineStr">
        <is>
          <t>Kinerja penerapan manajemen risiko digunakan sebagai dasar penilaian kinerja pada seluruh UPR tingkatan operasional unit kerja, seluruh UPR tingkatan strategis unit kerja, dan UPR tingkat strategis K/L/D secara memadai</t>
        </is>
      </c>
      <c r="I94" s="28" t="n">
        <v>1</v>
      </c>
      <c r="J94" s="62" t="inlineStr">
        <is>
          <t>Renstra/Renja/Perjanjian Kinerja yang Memuat Indikator Kinerja Penerapan Manajemen Risiko</t>
        </is>
      </c>
      <c r="K94" s="78" t="inlineStr"/>
      <c r="L94" s="29" t="n"/>
      <c r="M94" s="10" t="n"/>
      <c r="N94" s="29" t="n"/>
      <c r="O94" s="29" t="n"/>
      <c r="P94" s="29" t="n"/>
      <c r="Q94" s="10" t="n"/>
      <c r="R94" s="30">
        <f>IF(OR(L94="",L94="N/A"),"",IF(L94="Tidak Ada",0,IF(P94="","",IF(P94="Tidak Sesuai",0,IF(AND(N94="Ya",O94="Ya",P94="Sesuai"),1,0.5)))))</f>
        <v/>
      </c>
      <c r="S94" s="30">
        <f>IF(L94="N/A","N/A",IF(R94="","Belum dinilai",IF(R94=1,"Memenuhi",IF(R94=0,"Tidak Memenuhi","Memenuhi Sebagian"))))</f>
        <v/>
      </c>
      <c r="T94" s="31" t="inlineStr">
        <is>
          <t>1.3-4</t>
        </is>
      </c>
      <c r="U94" s="63">
        <f>IF(COUNT(R94:R96)=0,"",SUM(R94:R96)/COUNT(R94:R96))</f>
        <v/>
      </c>
    </row>
    <row r="95" ht="39" customHeight="1">
      <c r="A95" s="77" t="n"/>
      <c r="B95" s="77" t="n"/>
      <c r="C95" s="77" t="n"/>
      <c r="D95" s="77" t="n"/>
      <c r="E95" s="32" t="inlineStr">
        <is>
          <t>B</t>
        </is>
      </c>
      <c r="F95" s="77" t="n"/>
      <c r="G95" s="77" t="n"/>
      <c r="H95" s="77" t="n"/>
      <c r="I95" s="28" t="n">
        <v>2</v>
      </c>
      <c r="J95" s="62" t="inlineStr">
        <is>
          <t>SKP Pejabat/Pegawai yang Memuat Indikator Kinerja Penerapan Manajemen Risiko</t>
        </is>
      </c>
      <c r="K95" s="78" t="inlineStr"/>
      <c r="L95" s="29" t="n"/>
      <c r="M95" s="10" t="n"/>
      <c r="N95" s="29" t="n"/>
      <c r="O95" s="29" t="n"/>
      <c r="P95" s="29" t="n"/>
      <c r="Q95" s="10" t="n"/>
      <c r="R95" s="30">
        <f>IF(OR(L95="",L95="N/A"),"",IF(L95="Tidak Ada",0,IF(P95="","",IF(P95="Tidak Sesuai",0,IF(AND(N95="Ya",O95="Ya",P95="Sesuai"),1,0.5)))))</f>
        <v/>
      </c>
      <c r="S95" s="30">
        <f>IF(L95="N/A","N/A",IF(R95="","Belum dinilai",IF(R95=1,"Memenuhi",IF(R95=0,"Tidak Memenuhi","Memenuhi Sebagian"))))</f>
        <v/>
      </c>
      <c r="T95" s="31" t="inlineStr">
        <is>
          <t>1.3-4</t>
        </is>
      </c>
      <c r="U95" s="77" t="n"/>
    </row>
    <row r="96" ht="39" customHeight="1">
      <c r="A96" s="77" t="n"/>
      <c r="B96" s="77" t="n"/>
      <c r="C96" s="77" t="n"/>
      <c r="D96" s="77" t="n"/>
      <c r="E96" s="32" t="inlineStr">
        <is>
          <t>B</t>
        </is>
      </c>
      <c r="F96" s="79" t="n"/>
      <c r="G96" s="79" t="n"/>
      <c r="H96" s="79" t="n"/>
      <c r="I96" s="28" t="n">
        <v>3</v>
      </c>
      <c r="J96" s="62" t="inlineStr">
        <is>
          <t>Laporan Capaian Kinerja Penerapan Manajemen Risiko</t>
        </is>
      </c>
      <c r="K96" s="78" t="inlineStr"/>
      <c r="L96" s="29" t="n"/>
      <c r="M96" s="10" t="n"/>
      <c r="N96" s="29" t="n"/>
      <c r="O96" s="29" t="n"/>
      <c r="P96" s="29" t="n"/>
      <c r="Q96" s="10" t="n"/>
      <c r="R96" s="30">
        <f>IF(OR(L96="",L96="N/A"),"",IF(L96="Tidak Ada",0,IF(P96="","",IF(P96="Tidak Sesuai",0,IF(AND(N96="Ya",O96="Ya",P96="Sesuai"),1,0.5)))))</f>
        <v/>
      </c>
      <c r="S96" s="30">
        <f>IF(L96="N/A","N/A",IF(R96="","Belum dinilai",IF(R96=1,"Memenuhi",IF(R96=0,"Tidak Memenuhi","Memenuhi Sebagian"))))</f>
        <v/>
      </c>
      <c r="T96" s="31" t="inlineStr">
        <is>
          <t>1.3-4</t>
        </is>
      </c>
      <c r="U96" s="79" t="n"/>
    </row>
    <row r="97" ht="39" customHeight="1">
      <c r="A97" s="77" t="n"/>
      <c r="B97" s="77" t="n"/>
      <c r="C97" s="77" t="n"/>
      <c r="D97" s="77" t="n"/>
      <c r="E97" s="33" t="inlineStr">
        <is>
          <t>C</t>
        </is>
      </c>
      <c r="F97" s="62" t="inlineStr">
        <is>
          <t>C – Implementasi</t>
        </is>
      </c>
      <c r="G97" s="62" t="inlineStr">
        <is>
          <t>Kinerja penerapan manajemen risiko digunakan sebagai dasar penilaian kinerja pada seluruh UPR tingkatan operasional unit kerja dan seluruh UPR tingkatan strategis unit kerja secara memadai</t>
        </is>
      </c>
      <c r="H97" s="62" t="inlineStr">
        <is>
          <t>Kinerja penerapan manajemen risiko digunakan sebagai dasar penilaian kinerja pada seluruh UPR tingkatan operasional unit kerja dan seluruh UPR tingkatan strategis unit kerja secara memadai</t>
        </is>
      </c>
      <c r="I97" s="28" t="n">
        <v>1</v>
      </c>
      <c r="J97" s="71" t="inlineStr">
        <is>
          <t>Renja/Perjanjian Kinerja Unit Kerja yang Memuat Indikator Kinerja Penerapan Manajemen Risiko</t>
        </is>
      </c>
      <c r="K97" s="80" t="inlineStr"/>
      <c r="L97" s="70" t="inlineStr">
        <is>
          <t>Ada</t>
        </is>
      </c>
      <c r="M97" s="66" t="inlineStr">
        <is>
          <t>SK IKU, PK Inspektur</t>
        </is>
      </c>
      <c r="N97" s="29" t="inlineStr">
        <is>
          <t>Ya</t>
        </is>
      </c>
      <c r="O97" s="29" t="inlineStr">
        <is>
          <t>Ya</t>
        </is>
      </c>
      <c r="P97" s="29" t="inlineStr">
        <is>
          <t>Sesuai</t>
        </is>
      </c>
      <c r="Q97" s="10" t="n"/>
      <c r="R97" s="30">
        <f>IF(OR(L97="",L97="N/A"),"",IF(L97="Tidak Ada",0,IF(P97="","",IF(P97="Tidak Sesuai",0,IF(AND(N97="Ya",O97="Ya",P97="Sesuai"),1,0.5)))))</f>
        <v/>
      </c>
      <c r="S97" s="30">
        <f>IF(L97="N/A","N/A",IF(R97="","Belum dinilai",IF(R97=1,"Memenuhi",IF(R97=0,"Tidak Memenuhi","Memenuhi Sebagian"))))</f>
        <v/>
      </c>
      <c r="T97" s="31" t="inlineStr">
        <is>
          <t>1.3-4</t>
        </is>
      </c>
      <c r="U97" s="63">
        <f>IF(COUNT(R97:R99)=0,"",SUM(R97:R99)/COUNT(R97:R99))</f>
        <v/>
      </c>
    </row>
    <row r="98" ht="39" customHeight="1">
      <c r="A98" s="77" t="n"/>
      <c r="B98" s="77" t="n"/>
      <c r="C98" s="77" t="n"/>
      <c r="D98" s="77" t="n"/>
      <c r="E98" s="33" t="inlineStr">
        <is>
          <t>C</t>
        </is>
      </c>
      <c r="F98" s="77" t="n"/>
      <c r="G98" s="77" t="n"/>
      <c r="H98" s="77" t="n"/>
      <c r="I98" s="28" t="n">
        <v>2</v>
      </c>
      <c r="J98" s="62" t="inlineStr">
        <is>
          <t>SKP Pejabat/Pegawai Unit Kerja yang Memuat Indikator Kinerja Penerapan Manajemen Risiko</t>
        </is>
      </c>
      <c r="K98" s="78" t="inlineStr"/>
      <c r="L98" s="29" t="inlineStr">
        <is>
          <t>Ada</t>
        </is>
      </c>
      <c r="M98" s="66" t="inlineStr">
        <is>
          <t>SKP Auditor Irban II (PPTK)</t>
        </is>
      </c>
      <c r="N98" s="29" t="inlineStr">
        <is>
          <t>Ya</t>
        </is>
      </c>
      <c r="O98" s="29" t="inlineStr">
        <is>
          <t>Ya</t>
        </is>
      </c>
      <c r="P98" s="29" t="inlineStr">
        <is>
          <t>Sesuai</t>
        </is>
      </c>
      <c r="Q98" s="10" t="n"/>
      <c r="R98" s="30">
        <f>IF(OR(L98="",L98="N/A"),"",IF(L98="Tidak Ada",0,IF(P98="","",IF(P98="Tidak Sesuai",0,IF(AND(N98="Ya",O98="Ya",P98="Sesuai"),1,0.5)))))</f>
        <v/>
      </c>
      <c r="S98" s="30">
        <f>IF(L98="N/A","N/A",IF(R98="","Belum dinilai",IF(R98=1,"Memenuhi",IF(R98=0,"Tidak Memenuhi","Memenuhi Sebagian"))))</f>
        <v/>
      </c>
      <c r="T98" s="31" t="inlineStr">
        <is>
          <t>1.3-4</t>
        </is>
      </c>
      <c r="U98" s="77" t="n"/>
    </row>
    <row r="99" ht="39" customHeight="1">
      <c r="A99" s="77" t="n"/>
      <c r="B99" s="77" t="n"/>
      <c r="C99" s="77" t="n"/>
      <c r="D99" s="77" t="n"/>
      <c r="E99" s="33" t="inlineStr">
        <is>
          <t>C</t>
        </is>
      </c>
      <c r="F99" s="79" t="n"/>
      <c r="G99" s="79" t="n"/>
      <c r="H99" s="79" t="n"/>
      <c r="I99" s="28" t="n">
        <v>3</v>
      </c>
      <c r="J99" s="62" t="inlineStr">
        <is>
          <t>Laporan Capaian Kinerja Penerapan Manajemen Risiko Unit Kerja</t>
        </is>
      </c>
      <c r="K99" s="78" t="inlineStr"/>
      <c r="L99" s="29" t="n"/>
      <c r="M99" s="10" t="n"/>
      <c r="N99" s="29" t="n"/>
      <c r="O99" s="29" t="n"/>
      <c r="P99" s="29" t="n"/>
      <c r="Q99" s="10" t="n"/>
      <c r="R99" s="30">
        <f>IF(OR(L99="",L99="N/A"),"",IF(L99="Tidak Ada",0,IF(P99="","",IF(P99="Tidak Sesuai",0,IF(AND(N99="Ya",O99="Ya",P99="Sesuai"),1,0.5)))))</f>
        <v/>
      </c>
      <c r="S99" s="30">
        <f>IF(L99="N/A","N/A",IF(R99="","Belum dinilai",IF(R99=1,"Memenuhi",IF(R99=0,"Tidak Memenuhi","Memenuhi Sebagian"))))</f>
        <v/>
      </c>
      <c r="T99" s="31" t="inlineStr">
        <is>
          <t>1.3-4</t>
        </is>
      </c>
      <c r="U99" s="79" t="n"/>
    </row>
    <row r="100" ht="39" customHeight="1">
      <c r="A100" s="77" t="n"/>
      <c r="B100" s="77" t="n"/>
      <c r="C100" s="77" t="n"/>
      <c r="D100" s="77" t="n"/>
      <c r="E100" s="34" t="inlineStr">
        <is>
          <t>D</t>
        </is>
      </c>
      <c r="F100" s="62" t="inlineStr">
        <is>
          <t>D – Komunikasi &amp; Pemahaman</t>
        </is>
      </c>
      <c r="G100" s="62" t="inlineStr">
        <is>
          <t>Kinerja penerapan manajemen risiko digunakan sebagai dasar penilaian kinerja pada seluruh UPR tingkatan operasional unit kerja secara memadai</t>
        </is>
      </c>
      <c r="H100" s="62" t="inlineStr">
        <is>
          <t>Kinerja penerapan manajemen risiko digunakan sebagai dasar penilaian kinerja pada seluruh UPR tingkatan operasional unit kerja secara memadai</t>
        </is>
      </c>
      <c r="I100" s="28" t="n">
        <v>1</v>
      </c>
      <c r="J100" s="62" t="inlineStr">
        <is>
          <t>Renja/Rencana Aksi Unit Kerja yang Memuat Indikator Kinerja Penerapan Manajemen Risiko</t>
        </is>
      </c>
      <c r="K100" s="78" t="inlineStr"/>
      <c r="L100" s="29" t="n"/>
      <c r="M100" s="10" t="n"/>
      <c r="N100" s="29" t="n"/>
      <c r="O100" s="29" t="n"/>
      <c r="P100" s="29" t="n"/>
      <c r="Q100" s="10" t="n"/>
      <c r="R100" s="30">
        <f>IF(OR(L100="",L100="N/A"),"",IF(L100="Tidak Ada",0,IF(P100="","",IF(P100="Tidak Sesuai",0,IF(AND(N100="Ya",O100="Ya",P100="Sesuai"),1,0.5)))))</f>
        <v/>
      </c>
      <c r="S100" s="30">
        <f>IF(L100="N/A","N/A",IF(R100="","Belum dinilai",IF(R100=1,"Memenuhi",IF(R100=0,"Tidak Memenuhi","Memenuhi Sebagian"))))</f>
        <v/>
      </c>
      <c r="T100" s="31" t="inlineStr">
        <is>
          <t>1.3-4</t>
        </is>
      </c>
      <c r="U100" s="63">
        <f>IF(COUNT(R100:R102)=0,"",SUM(R100:R102)/COUNT(R100:R102))</f>
        <v/>
      </c>
    </row>
    <row r="101" ht="39" customHeight="1">
      <c r="A101" s="77" t="n"/>
      <c r="B101" s="77" t="n"/>
      <c r="C101" s="77" t="n"/>
      <c r="D101" s="77" t="n"/>
      <c r="E101" s="34" t="inlineStr">
        <is>
          <t>D</t>
        </is>
      </c>
      <c r="F101" s="77" t="n"/>
      <c r="G101" s="77" t="n"/>
      <c r="H101" s="77" t="n"/>
      <c r="I101" s="28" t="n">
        <v>2</v>
      </c>
      <c r="J101" s="62" t="inlineStr">
        <is>
          <t>SKP Pejabat/Pegawai Unit Kerja yang Memuat Indikator Kinerja Penerapan Manajemen Risiko</t>
        </is>
      </c>
      <c r="K101" s="78" t="inlineStr"/>
      <c r="L101" s="29" t="n"/>
      <c r="M101" s="10" t="n"/>
      <c r="N101" s="29" t="n"/>
      <c r="O101" s="29" t="n"/>
      <c r="P101" s="29" t="n"/>
      <c r="Q101" s="10" t="n"/>
      <c r="R101" s="30">
        <f>IF(OR(L101="",L101="N/A"),"",IF(L101="Tidak Ada",0,IF(P101="","",IF(P101="Tidak Sesuai",0,IF(AND(N101="Ya",O101="Ya",P101="Sesuai"),1,0.5)))))</f>
        <v/>
      </c>
      <c r="S101" s="30">
        <f>IF(L101="N/A","N/A",IF(R101="","Belum dinilai",IF(R101=1,"Memenuhi",IF(R101=0,"Tidak Memenuhi","Memenuhi Sebagian"))))</f>
        <v/>
      </c>
      <c r="T101" s="31" t="inlineStr">
        <is>
          <t>1.3-4</t>
        </is>
      </c>
      <c r="U101" s="77" t="n"/>
    </row>
    <row r="102" ht="27" customHeight="1">
      <c r="A102" s="77" t="n"/>
      <c r="B102" s="77" t="n"/>
      <c r="C102" s="77" t="n"/>
      <c r="D102" s="77" t="n"/>
      <c r="E102" s="34" t="inlineStr">
        <is>
          <t>D</t>
        </is>
      </c>
      <c r="F102" s="79" t="n"/>
      <c r="G102" s="79" t="n"/>
      <c r="H102" s="79" t="n"/>
      <c r="I102" s="28" t="n">
        <v>3</v>
      </c>
      <c r="J102" s="62" t="inlineStr">
        <is>
          <t>Laporan Capaian Kinerja Penerapan Manajemen Risiko</t>
        </is>
      </c>
      <c r="K102" s="78" t="inlineStr"/>
      <c r="L102" s="29" t="n"/>
      <c r="M102" s="10" t="n"/>
      <c r="N102" s="29" t="n"/>
      <c r="O102" s="29" t="n"/>
      <c r="P102" s="29" t="n"/>
      <c r="Q102" s="10" t="n"/>
      <c r="R102" s="30">
        <f>IF(OR(L102="",L102="N/A"),"",IF(L102="Tidak Ada",0,IF(P102="","",IF(P102="Tidak Sesuai",0,IF(AND(N102="Ya",O102="Ya",P102="Sesuai"),1,0.5)))))</f>
        <v/>
      </c>
      <c r="S102" s="30">
        <f>IF(L102="N/A","N/A",IF(R102="","Belum dinilai",IF(R102=1,"Memenuhi",IF(R102=0,"Tidak Memenuhi","Memenuhi Sebagian"))))</f>
        <v/>
      </c>
      <c r="T102" s="31" t="inlineStr">
        <is>
          <t>1.3-4</t>
        </is>
      </c>
      <c r="U102" s="79" t="n"/>
    </row>
    <row r="103" ht="39" customHeight="1">
      <c r="A103" s="77" t="n"/>
      <c r="B103" s="77" t="n"/>
      <c r="C103" s="77" t="n"/>
      <c r="D103" s="77" t="n"/>
      <c r="E103" s="35" t="inlineStr">
        <is>
          <t>E</t>
        </is>
      </c>
      <c r="F103" s="62" t="inlineStr">
        <is>
          <t>E – Kebijakan/Formalitas</t>
        </is>
      </c>
      <c r="G103" s="62" t="inlineStr">
        <is>
          <t>Kinerja penerapan manajemen risiko digunakan sebagai dasar penilaian kinerja pada sebagian UPR tingkatan operasional unit kerja secara memadai</t>
        </is>
      </c>
      <c r="H103" s="62" t="inlineStr">
        <is>
          <t>Organisasi telah memiliki/menetapkan kinerja penerapan manajemen risiko digunakan sebagai dasar penilaian kinerja pada sebagian upr tingkatan operasional unit kerja secara memadai</t>
        </is>
      </c>
      <c r="I103" s="28" t="n">
        <v>1</v>
      </c>
      <c r="J103" s="62" t="inlineStr">
        <is>
          <t>Renja/Rencana Aksi Unit Kerja yang Memuat Indikator Kinerja Penerapan Manajemen Risiko</t>
        </is>
      </c>
      <c r="K103" s="78" t="inlineStr"/>
      <c r="L103" s="29" t="n"/>
      <c r="M103" s="10" t="n"/>
      <c r="N103" s="29" t="n"/>
      <c r="O103" s="29" t="n"/>
      <c r="P103" s="29" t="n"/>
      <c r="Q103" s="10" t="n"/>
      <c r="R103" s="30">
        <f>IF(OR(L103="",L103="N/A"),"",IF(L103="Tidak Ada",0,IF(P103="","",IF(P103="Tidak Sesuai",0,IF(AND(N103="Ya",O103="Ya",P103="Sesuai"),1,0.5)))))</f>
        <v/>
      </c>
      <c r="S103" s="30">
        <f>IF(L103="N/A","N/A",IF(R103="","Belum dinilai",IF(R103=1,"Memenuhi",IF(R103=0,"Tidak Memenuhi","Memenuhi Sebagian"))))</f>
        <v/>
      </c>
      <c r="T103" s="31" t="inlineStr">
        <is>
          <t>1.3-4</t>
        </is>
      </c>
      <c r="U103" s="63">
        <f>IF(COUNT(R103:R105)=0,"",SUM(R103:R105)/COUNT(R103:R105))</f>
        <v/>
      </c>
    </row>
    <row r="104" ht="39" customHeight="1">
      <c r="A104" s="77" t="n"/>
      <c r="B104" s="77" t="n"/>
      <c r="C104" s="77" t="n"/>
      <c r="D104" s="77" t="n"/>
      <c r="E104" s="35" t="inlineStr">
        <is>
          <t>E</t>
        </is>
      </c>
      <c r="F104" s="77" t="n"/>
      <c r="G104" s="77" t="n"/>
      <c r="H104" s="77" t="n"/>
      <c r="I104" s="28" t="n">
        <v>2</v>
      </c>
      <c r="J104" s="62" t="inlineStr">
        <is>
          <t>SKP Pejabat/Pegawai Unit Kerja</t>
        </is>
      </c>
      <c r="K104" s="78" t="inlineStr"/>
      <c r="L104" s="29" t="n"/>
      <c r="M104" s="10" t="n"/>
      <c r="N104" s="29" t="n"/>
      <c r="O104" s="29" t="n"/>
      <c r="P104" s="29" t="n"/>
      <c r="Q104" s="10" t="n"/>
      <c r="R104" s="30">
        <f>IF(OR(L104="",L104="N/A"),"",IF(L104="Tidak Ada",0,IF(P104="","",IF(P104="Tidak Sesuai",0,IF(AND(N104="Ya",O104="Ya",P104="Sesuai"),1,0.5)))))</f>
        <v/>
      </c>
      <c r="S104" s="30">
        <f>IF(L104="N/A","N/A",IF(R104="","Belum dinilai",IF(R104=1,"Memenuhi",IF(R104=0,"Tidak Memenuhi","Memenuhi Sebagian"))))</f>
        <v/>
      </c>
      <c r="T104" s="31" t="inlineStr">
        <is>
          <t>1.3-4</t>
        </is>
      </c>
      <c r="U104" s="77" t="n"/>
    </row>
    <row r="105" ht="39" customHeight="1">
      <c r="A105" s="79" t="n"/>
      <c r="B105" s="79" t="n"/>
      <c r="C105" s="79" t="n"/>
      <c r="D105" s="79" t="n"/>
      <c r="E105" s="35" t="inlineStr">
        <is>
          <t>E</t>
        </is>
      </c>
      <c r="F105" s="79" t="n"/>
      <c r="G105" s="79" t="n"/>
      <c r="H105" s="79" t="n"/>
      <c r="I105" s="28" t="n">
        <v>3</v>
      </c>
      <c r="J105" s="62" t="inlineStr">
        <is>
          <t>Laporan Capaian Kinerja Penerapan Manajemen Risiko</t>
        </is>
      </c>
      <c r="K105" s="78" t="inlineStr"/>
      <c r="L105" s="29" t="n"/>
      <c r="M105" s="10" t="n"/>
      <c r="N105" s="29" t="n"/>
      <c r="O105" s="29" t="n"/>
      <c r="P105" s="29" t="n"/>
      <c r="Q105" s="10" t="n"/>
      <c r="R105" s="30">
        <f>IF(OR(L105="",L105="N/A"),"",IF(L105="Tidak Ada",0,IF(P105="","",IF(P105="Tidak Sesuai",0,IF(AND(N105="Ya",O105="Ya",P105="Sesuai"),1,0.5)))))</f>
        <v/>
      </c>
      <c r="S105" s="30">
        <f>IF(L105="N/A","N/A",IF(R105="","Belum dinilai",IF(R105=1,"Memenuhi",IF(R105=0,"Tidak Memenuhi","Memenuhi Sebagian"))))</f>
        <v/>
      </c>
      <c r="T105" s="31" t="inlineStr">
        <is>
          <t>1.3-4</t>
        </is>
      </c>
      <c r="U105" s="79" t="n"/>
    </row>
    <row r="106" ht="27" customHeight="1">
      <c r="A106" s="56" t="inlineStr">
        <is>
          <t>1.4</t>
        </is>
      </c>
      <c r="B106" s="57" t="inlineStr">
        <is>
          <t>Struktur Organisasi Sesuai Kebutuhan</t>
        </is>
      </c>
      <c r="C106" s="58" t="n">
        <v>1</v>
      </c>
      <c r="D106" s="59" t="inlineStr">
        <is>
          <t>Struktur organisasi dibentuk dalam rangka mendukung pencapaian sasaran strategis organisasi</t>
        </is>
      </c>
      <c r="E106" s="21" t="inlineStr">
        <is>
          <t>A</t>
        </is>
      </c>
      <c r="F106" s="60" t="inlineStr">
        <is>
          <t>A – Perbaikan Berkelanjutan</t>
        </is>
      </c>
      <c r="G106" s="60" t="inlineStr">
        <is>
          <t>K/L/D memiliki fleksibilitas untuk menyesuaikan struktur organisasi dalam rangka mendukung perubahan proses bisnis dan perubahan perencanaan strategis</t>
        </is>
      </c>
      <c r="H106" s="60" t="inlineStr">
        <is>
          <t>Memiliki fleksibilitas untuk menyesuaikan struktur organisasi dalam rangka mendukung perubahan proses bisnis dan perubahan perencanaan strategis</t>
        </is>
      </c>
      <c r="I106" s="22" t="n">
        <v>1</v>
      </c>
      <c r="J106" s="60" t="inlineStr">
        <is>
          <t>Laporan Evaluasi Kelembagaan yang menjadi dasar perbaikan</t>
        </is>
      </c>
      <c r="K106" s="76" t="inlineStr"/>
      <c r="L106" s="23" t="n"/>
      <c r="M106" s="24" t="n"/>
      <c r="N106" s="23" t="n"/>
      <c r="O106" s="23" t="n"/>
      <c r="P106" s="23" t="n"/>
      <c r="Q106" s="24" t="n"/>
      <c r="R106" s="25">
        <f>IF(OR(L106="",L106="N/A"),"",IF(L106="Tidak Ada",0,IF(P106="","",IF(P106="Tidak Sesuai",0,IF(AND(N106="Ya",O106="Ya",P106="Sesuai"),1,0.5)))))</f>
        <v/>
      </c>
      <c r="S106" s="25">
        <f>IF(L106="N/A","N/A",IF(R106="","Belum dinilai",IF(R106=1,"Memenuhi",IF(R106=0,"Tidak Memenuhi","Memenuhi Sebagian"))))</f>
        <v/>
      </c>
      <c r="T106" s="26" t="inlineStr">
        <is>
          <t>1.4-1</t>
        </is>
      </c>
      <c r="U106" s="61">
        <f>IF(COUNT(R106:R110)=0,"",SUM(R106:R110)/COUNT(R106:R110))</f>
        <v/>
      </c>
    </row>
    <row r="107" ht="27" customHeight="1">
      <c r="A107" s="77" t="n"/>
      <c r="B107" s="77" t="n"/>
      <c r="C107" s="77" t="n"/>
      <c r="D107" s="77" t="n"/>
      <c r="E107" s="27" t="inlineStr">
        <is>
          <t>A</t>
        </is>
      </c>
      <c r="F107" s="77" t="n"/>
      <c r="G107" s="77" t="n"/>
      <c r="H107" s="77" t="n"/>
      <c r="I107" s="28" t="n">
        <v>2</v>
      </c>
      <c r="J107" s="62" t="inlineStr">
        <is>
          <t>Dokumen Pemutakhiran Proses Bisnis</t>
        </is>
      </c>
      <c r="K107" s="78" t="inlineStr"/>
      <c r="L107" s="29" t="n"/>
      <c r="M107" s="10" t="n"/>
      <c r="N107" s="29" t="n"/>
      <c r="O107" s="29" t="n"/>
      <c r="P107" s="29" t="n"/>
      <c r="Q107" s="10" t="n"/>
      <c r="R107" s="30">
        <f>IF(OR(L107="",L107="N/A"),"",IF(L107="Tidak Ada",0,IF(P107="","",IF(P107="Tidak Sesuai",0,IF(AND(N107="Ya",O107="Ya",P107="Sesuai"),1,0.5)))))</f>
        <v/>
      </c>
      <c r="S107" s="30">
        <f>IF(L107="N/A","N/A",IF(R107="","Belum dinilai",IF(R107=1,"Memenuhi",IF(R107=0,"Tidak Memenuhi","Memenuhi Sebagian"))))</f>
        <v/>
      </c>
      <c r="T107" s="31" t="inlineStr">
        <is>
          <t>1.4-1</t>
        </is>
      </c>
      <c r="U107" s="77" t="n"/>
    </row>
    <row r="108" ht="27" customHeight="1">
      <c r="A108" s="77" t="n"/>
      <c r="B108" s="77" t="n"/>
      <c r="C108" s="77" t="n"/>
      <c r="D108" s="77" t="n"/>
      <c r="E108" s="27" t="inlineStr">
        <is>
          <t>A</t>
        </is>
      </c>
      <c r="F108" s="77" t="n"/>
      <c r="G108" s="77" t="n"/>
      <c r="H108" s="77" t="n"/>
      <c r="I108" s="28" t="n">
        <v>3</v>
      </c>
      <c r="J108" s="62" t="inlineStr">
        <is>
          <t>Dokumen Pemutakhiran SOP</t>
        </is>
      </c>
      <c r="K108" s="78" t="inlineStr"/>
      <c r="L108" s="29" t="n"/>
      <c r="M108" s="10" t="n"/>
      <c r="N108" s="29" t="n"/>
      <c r="O108" s="29" t="n"/>
      <c r="P108" s="29" t="n"/>
      <c r="Q108" s="10" t="n"/>
      <c r="R108" s="30">
        <f>IF(OR(L108="",L108="N/A"),"",IF(L108="Tidak Ada",0,IF(P108="","",IF(P108="Tidak Sesuai",0,IF(AND(N108="Ya",O108="Ya",P108="Sesuai"),1,0.5)))))</f>
        <v/>
      </c>
      <c r="S108" s="30">
        <f>IF(L108="N/A","N/A",IF(R108="","Belum dinilai",IF(R108=1,"Memenuhi",IF(R108=0,"Tidak Memenuhi","Memenuhi Sebagian"))))</f>
        <v/>
      </c>
      <c r="T108" s="31" t="inlineStr">
        <is>
          <t>1.4-1</t>
        </is>
      </c>
      <c r="U108" s="77" t="n"/>
    </row>
    <row r="109" ht="27" customHeight="1">
      <c r="A109" s="77" t="n"/>
      <c r="B109" s="77" t="n"/>
      <c r="C109" s="77" t="n"/>
      <c r="D109" s="77" t="n"/>
      <c r="E109" s="27" t="inlineStr">
        <is>
          <t>A</t>
        </is>
      </c>
      <c r="F109" s="77" t="n"/>
      <c r="G109" s="77" t="n"/>
      <c r="H109" s="77" t="n"/>
      <c r="I109" s="28" t="n">
        <v>4</v>
      </c>
      <c r="J109" s="62" t="inlineStr">
        <is>
          <t>Dokumen perubahan/pemutakhiran SOTK, jika ada</t>
        </is>
      </c>
      <c r="K109" s="78" t="inlineStr"/>
      <c r="L109" s="29" t="n"/>
      <c r="M109" s="10" t="n"/>
      <c r="N109" s="29" t="n"/>
      <c r="O109" s="29" t="n"/>
      <c r="P109" s="29" t="n"/>
      <c r="Q109" s="10" t="n"/>
      <c r="R109" s="30">
        <f>IF(OR(L109="",L109="N/A"),"",IF(L109="Tidak Ada",0,IF(P109="","",IF(P109="Tidak Sesuai",0,IF(AND(N109="Ya",O109="Ya",P109="Sesuai"),1,0.5)))))</f>
        <v/>
      </c>
      <c r="S109" s="30">
        <f>IF(L109="N/A","N/A",IF(R109="","Belum dinilai",IF(R109=1,"Memenuhi",IF(R109=0,"Tidak Memenuhi","Memenuhi Sebagian"))))</f>
        <v/>
      </c>
      <c r="T109" s="31" t="inlineStr">
        <is>
          <t>1.4-1</t>
        </is>
      </c>
      <c r="U109" s="77" t="n"/>
    </row>
    <row r="110" ht="39" customHeight="1">
      <c r="A110" s="77" t="n"/>
      <c r="B110" s="77" t="n"/>
      <c r="C110" s="77" t="n"/>
      <c r="D110" s="77" t="n"/>
      <c r="E110" s="27" t="inlineStr">
        <is>
          <t>A</t>
        </is>
      </c>
      <c r="F110" s="79" t="n"/>
      <c r="G110" s="79" t="n"/>
      <c r="H110" s="79" t="n"/>
      <c r="I110" s="28" t="n">
        <v>5</v>
      </c>
      <c r="J110" s="62" t="inlineStr">
        <is>
          <t>5 Bukti penggunaan sistem/aplikasi yang mendukung proses bisnis dan arus informasi</t>
        </is>
      </c>
      <c r="K110" s="78" t="inlineStr"/>
      <c r="L110" s="29" t="n"/>
      <c r="M110" s="10" t="n"/>
      <c r="N110" s="29" t="n"/>
      <c r="O110" s="29" t="n"/>
      <c r="P110" s="29" t="n"/>
      <c r="Q110" s="10" t="n"/>
      <c r="R110" s="30">
        <f>IF(OR(L110="",L110="N/A"),"",IF(L110="Tidak Ada",0,IF(P110="","",IF(P110="Tidak Sesuai",0,IF(AND(N110="Ya",O110="Ya",P110="Sesuai"),1,0.5)))))</f>
        <v/>
      </c>
      <c r="S110" s="30">
        <f>IF(L110="N/A","N/A",IF(R110="","Belum dinilai",IF(R110=1,"Memenuhi",IF(R110=0,"Tidak Memenuhi","Memenuhi Sebagian"))))</f>
        <v/>
      </c>
      <c r="T110" s="31" t="inlineStr">
        <is>
          <t>1.4-1</t>
        </is>
      </c>
      <c r="U110" s="79" t="n"/>
    </row>
    <row r="111" ht="27" customHeight="1">
      <c r="A111" s="77" t="n"/>
      <c r="B111" s="77" t="n"/>
      <c r="C111" s="77" t="n"/>
      <c r="D111" s="77" t="n"/>
      <c r="E111" s="32" t="inlineStr">
        <is>
          <t>B</t>
        </is>
      </c>
      <c r="F111" s="62" t="inlineStr">
        <is>
          <t>B – Evaluasi &amp; Tindak Lanjut</t>
        </is>
      </c>
      <c r="G111" s="62" t="inlineStr">
        <is>
          <t>Efisiensi dan efektivitas struktur organisasi dapat dilihat secara berkala melalui pengujian atas pelaksanaan proses bisnis organisasi dan ketepatannya dengan perencanaan strategis</t>
        </is>
      </c>
      <c r="H111" s="62" t="inlineStr">
        <is>
          <t>Efisiensi dan efektivitas struktur organisasi dapat dilihat secara berkala melalui pengujian atas pelaksanaan proses bisnis organisasi dan ketepatannya dengan perencanaan strategis</t>
        </is>
      </c>
      <c r="I111" s="28" t="n">
        <v>1</v>
      </c>
      <c r="J111" s="62" t="inlineStr">
        <is>
          <t>Laporan Evaluasi Kelembagaan/Organisasi</t>
        </is>
      </c>
      <c r="K111" s="78" t="inlineStr"/>
      <c r="L111" s="29" t="n"/>
      <c r="M111" s="10" t="n"/>
      <c r="N111" s="29" t="n"/>
      <c r="O111" s="29" t="n"/>
      <c r="P111" s="29" t="n"/>
      <c r="Q111" s="10" t="n"/>
      <c r="R111" s="30">
        <f>IF(OR(L111="",L111="N/A"),"",IF(L111="Tidak Ada",0,IF(P111="","",IF(P111="Tidak Sesuai",0,IF(AND(N111="Ya",O111="Ya",P111="Sesuai"),1,0.5)))))</f>
        <v/>
      </c>
      <c r="S111" s="30">
        <f>IF(L111="N/A","N/A",IF(R111="","Belum dinilai",IF(R111=1,"Memenuhi",IF(R111=0,"Tidak Memenuhi","Memenuhi Sebagian"))))</f>
        <v/>
      </c>
      <c r="T111" s="31" t="inlineStr">
        <is>
          <t>1.4-1</t>
        </is>
      </c>
      <c r="U111" s="63">
        <f>IF(COUNT(R111:R114)=0,"",SUM(R111:R114)/COUNT(R111:R114))</f>
        <v/>
      </c>
    </row>
    <row r="112" ht="27" customHeight="1">
      <c r="A112" s="77" t="n"/>
      <c r="B112" s="77" t="n"/>
      <c r="C112" s="77" t="n"/>
      <c r="D112" s="77" t="n"/>
      <c r="E112" s="32" t="inlineStr">
        <is>
          <t>B</t>
        </is>
      </c>
      <c r="F112" s="77" t="n"/>
      <c r="G112" s="77" t="n"/>
      <c r="H112" s="77" t="n"/>
      <c r="I112" s="28" t="n">
        <v>2</v>
      </c>
      <c r="J112" s="62" t="inlineStr">
        <is>
          <t>Laporan Evaluasi Proses Bisnis/SOP</t>
        </is>
      </c>
      <c r="K112" s="78" t="inlineStr"/>
      <c r="L112" s="29" t="n"/>
      <c r="M112" s="10" t="n"/>
      <c r="N112" s="29" t="n"/>
      <c r="O112" s="29" t="n"/>
      <c r="P112" s="29" t="n"/>
      <c r="Q112" s="10" t="n"/>
      <c r="R112" s="30">
        <f>IF(OR(L112="",L112="N/A"),"",IF(L112="Tidak Ada",0,IF(P112="","",IF(P112="Tidak Sesuai",0,IF(AND(N112="Ya",O112="Ya",P112="Sesuai"),1,0.5)))))</f>
        <v/>
      </c>
      <c r="S112" s="30">
        <f>IF(L112="N/A","N/A",IF(R112="","Belum dinilai",IF(R112=1,"Memenuhi",IF(R112=0,"Tidak Memenuhi","Memenuhi Sebagian"))))</f>
        <v/>
      </c>
      <c r="T112" s="31" t="inlineStr">
        <is>
          <t>1.4-1</t>
        </is>
      </c>
      <c r="U112" s="77" t="n"/>
    </row>
    <row r="113" ht="27" customHeight="1">
      <c r="A113" s="77" t="n"/>
      <c r="B113" s="77" t="n"/>
      <c r="C113" s="77" t="n"/>
      <c r="D113" s="77" t="n"/>
      <c r="E113" s="32" t="inlineStr">
        <is>
          <t>B</t>
        </is>
      </c>
      <c r="F113" s="77" t="n"/>
      <c r="G113" s="77" t="n"/>
      <c r="H113" s="77" t="n"/>
      <c r="I113" s="28" t="n">
        <v>3</v>
      </c>
      <c r="J113" s="62" t="inlineStr">
        <is>
          <t>Matriks Tindak Lanjut Hasil Evaluasi</t>
        </is>
      </c>
      <c r="K113" s="78" t="inlineStr"/>
      <c r="L113" s="29" t="n"/>
      <c r="M113" s="10" t="n"/>
      <c r="N113" s="29" t="n"/>
      <c r="O113" s="29" t="n"/>
      <c r="P113" s="29" t="n"/>
      <c r="Q113" s="10" t="n"/>
      <c r="R113" s="30">
        <f>IF(OR(L113="",L113="N/A"),"",IF(L113="Tidak Ada",0,IF(P113="","",IF(P113="Tidak Sesuai",0,IF(AND(N113="Ya",O113="Ya",P113="Sesuai"),1,0.5)))))</f>
        <v/>
      </c>
      <c r="S113" s="30">
        <f>IF(L113="N/A","N/A",IF(R113="","Belum dinilai",IF(R113=1,"Memenuhi",IF(R113=0,"Tidak Memenuhi","Memenuhi Sebagian"))))</f>
        <v/>
      </c>
      <c r="T113" s="31" t="inlineStr">
        <is>
          <t>1.4-1</t>
        </is>
      </c>
      <c r="U113" s="77" t="n"/>
    </row>
    <row r="114" ht="27" customHeight="1">
      <c r="A114" s="77" t="n"/>
      <c r="B114" s="77" t="n"/>
      <c r="C114" s="77" t="n"/>
      <c r="D114" s="77" t="n"/>
      <c r="E114" s="32" t="inlineStr">
        <is>
          <t>B</t>
        </is>
      </c>
      <c r="F114" s="79" t="n"/>
      <c r="G114" s="79" t="n"/>
      <c r="H114" s="79" t="n"/>
      <c r="I114" s="28" t="n">
        <v>4</v>
      </c>
      <c r="J114" s="62" t="inlineStr">
        <is>
          <t>Dokumen Perbaikan SOP/Proses Bisnis</t>
        </is>
      </c>
      <c r="K114" s="78" t="inlineStr"/>
      <c r="L114" s="29" t="n"/>
      <c r="M114" s="10" t="n"/>
      <c r="N114" s="29" t="n"/>
      <c r="O114" s="29" t="n"/>
      <c r="P114" s="29" t="n"/>
      <c r="Q114" s="10" t="n"/>
      <c r="R114" s="30">
        <f>IF(OR(L114="",L114="N/A"),"",IF(L114="Tidak Ada",0,IF(P114="","",IF(P114="Tidak Sesuai",0,IF(AND(N114="Ya",O114="Ya",P114="Sesuai"),1,0.5)))))</f>
        <v/>
      </c>
      <c r="S114" s="30">
        <f>IF(L114="N/A","N/A",IF(R114="","Belum dinilai",IF(R114=1,"Memenuhi",IF(R114=0,"Tidak Memenuhi","Memenuhi Sebagian"))))</f>
        <v/>
      </c>
      <c r="T114" s="31" t="inlineStr">
        <is>
          <t>1.4-1</t>
        </is>
      </c>
      <c r="U114" s="79" t="n"/>
    </row>
    <row r="115" ht="15" customHeight="1">
      <c r="A115" s="77" t="n"/>
      <c r="B115" s="77" t="n"/>
      <c r="C115" s="77" t="n"/>
      <c r="D115" s="77" t="n"/>
      <c r="E115" s="33" t="inlineStr">
        <is>
          <t>C</t>
        </is>
      </c>
      <c r="F115" s="62" t="inlineStr">
        <is>
          <t>C – Implementasi</t>
        </is>
      </c>
      <c r="G115" s="62" t="inlineStr">
        <is>
          <t>Struktur organisasi dijalankan sesuai proses bisnis organisasi dengan SDM yang mencukupi</t>
        </is>
      </c>
      <c r="H115" s="62" t="inlineStr">
        <is>
          <t>Struktur organisasi dijalankan sesuai proses bisnis organisasi dengan SDM yang mencukupi</t>
        </is>
      </c>
      <c r="I115" s="28" t="n">
        <v>1</v>
      </c>
      <c r="J115" s="62" t="inlineStr">
        <is>
          <t>Dokumen Proses Bisnis OPD</t>
        </is>
      </c>
      <c r="K115" s="78" t="inlineStr"/>
      <c r="L115" s="29" t="n"/>
      <c r="M115" s="10" t="n"/>
      <c r="N115" s="29" t="n"/>
      <c r="O115" s="29" t="n"/>
      <c r="P115" s="29" t="n"/>
      <c r="Q115" s="10" t="n"/>
      <c r="R115" s="30">
        <f>IF(OR(L115="",L115="N/A"),"",IF(L115="Tidak Ada",0,IF(P115="","",IF(P115="Tidak Sesuai",0,IF(AND(N115="Ya",O115="Ya",P115="Sesuai"),1,0.5)))))</f>
        <v/>
      </c>
      <c r="S115" s="30">
        <f>IF(L115="N/A","N/A",IF(R115="","Belum dinilai",IF(R115=1,"Memenuhi",IF(R115=0,"Tidak Memenuhi","Memenuhi Sebagian"))))</f>
        <v/>
      </c>
      <c r="T115" s="31" t="inlineStr">
        <is>
          <t>1.4-1</t>
        </is>
      </c>
      <c r="U115" s="63">
        <f>IF(COUNT(R115:R119)=0,"",SUM(R115:R119)/COUNT(R115:R119))</f>
        <v/>
      </c>
    </row>
    <row r="116" ht="15" customHeight="1">
      <c r="A116" s="77" t="n"/>
      <c r="B116" s="77" t="n"/>
      <c r="C116" s="77" t="n"/>
      <c r="D116" s="77" t="n"/>
      <c r="E116" s="33" t="inlineStr">
        <is>
          <t>C</t>
        </is>
      </c>
      <c r="F116" s="77" t="n"/>
      <c r="G116" s="77" t="n"/>
      <c r="H116" s="77" t="n"/>
      <c r="I116" s="28" t="n">
        <v>2</v>
      </c>
      <c r="J116" s="62" t="inlineStr">
        <is>
          <t>Kumpulan SOP OPD</t>
        </is>
      </c>
      <c r="K116" s="78" t="inlineStr"/>
      <c r="L116" s="29" t="inlineStr">
        <is>
          <t>Ada</t>
        </is>
      </c>
      <c r="M116" s="66" t="inlineStr">
        <is>
          <t>SOP perencanaan &amp; pengukuran</t>
        </is>
      </c>
      <c r="N116" s="29" t="inlineStr">
        <is>
          <t>Ya</t>
        </is>
      </c>
      <c r="O116" s="29" t="inlineStr">
        <is>
          <t>Ya</t>
        </is>
      </c>
      <c r="P116" s="29" t="inlineStr">
        <is>
          <t>Sesuai</t>
        </is>
      </c>
      <c r="Q116" s="10" t="n"/>
      <c r="R116" s="30">
        <f>IF(OR(L116="",L116="N/A"),"",IF(L116="Tidak Ada",0,IF(P116="","",IF(P116="Tidak Sesuai",0,IF(AND(N116="Ya",O116="Ya",P116="Sesuai"),1,0.5)))))</f>
        <v/>
      </c>
      <c r="S116" s="30">
        <f>IF(L116="N/A","N/A",IF(R116="","Belum dinilai",IF(R116=1,"Memenuhi",IF(R116=0,"Tidak Memenuhi","Memenuhi Sebagian"))))</f>
        <v/>
      </c>
      <c r="T116" s="31" t="inlineStr">
        <is>
          <t>1.4-1</t>
        </is>
      </c>
      <c r="U116" s="77" t="n"/>
    </row>
    <row r="117" ht="15" customHeight="1">
      <c r="A117" s="77" t="n"/>
      <c r="B117" s="77" t="n"/>
      <c r="C117" s="77" t="n"/>
      <c r="D117" s="77" t="n"/>
      <c r="E117" s="33" t="inlineStr">
        <is>
          <t>C</t>
        </is>
      </c>
      <c r="F117" s="77" t="n"/>
      <c r="G117" s="77" t="n"/>
      <c r="H117" s="77" t="n"/>
      <c r="I117" s="28" t="n">
        <v>3</v>
      </c>
      <c r="J117" s="62" t="inlineStr">
        <is>
          <t>Peta Jabatan</t>
        </is>
      </c>
      <c r="K117" s="78" t="inlineStr"/>
      <c r="L117" s="29" t="n"/>
      <c r="M117" s="10" t="n"/>
      <c r="N117" s="29" t="n"/>
      <c r="O117" s="29" t="n"/>
      <c r="P117" s="29" t="n"/>
      <c r="Q117" s="10" t="n"/>
      <c r="R117" s="30">
        <f>IF(OR(L117="",L117="N/A"),"",IF(L117="Tidak Ada",0,IF(P117="","",IF(P117="Tidak Sesuai",0,IF(AND(N117="Ya",O117="Ya",P117="Sesuai"),1,0.5)))))</f>
        <v/>
      </c>
      <c r="S117" s="30">
        <f>IF(L117="N/A","N/A",IF(R117="","Belum dinilai",IF(R117=1,"Memenuhi",IF(R117=0,"Tidak Memenuhi","Memenuhi Sebagian"))))</f>
        <v/>
      </c>
      <c r="T117" s="31" t="inlineStr">
        <is>
          <t>1.4-1</t>
        </is>
      </c>
      <c r="U117" s="77" t="n"/>
    </row>
    <row r="118" ht="15" customHeight="1">
      <c r="A118" s="77" t="n"/>
      <c r="B118" s="77" t="n"/>
      <c r="C118" s="77" t="n"/>
      <c r="D118" s="77" t="n"/>
      <c r="E118" s="33" t="inlineStr">
        <is>
          <t>C</t>
        </is>
      </c>
      <c r="F118" s="77" t="n"/>
      <c r="G118" s="77" t="n"/>
      <c r="H118" s="77" t="n"/>
      <c r="I118" s="28" t="n">
        <v>4</v>
      </c>
      <c r="J118" s="62" t="inlineStr">
        <is>
          <t>Analisis Jabatan (Anjab)</t>
        </is>
      </c>
      <c r="K118" s="78" t="inlineStr"/>
      <c r="L118" s="29" t="n"/>
      <c r="M118" s="10" t="n"/>
      <c r="N118" s="29" t="n"/>
      <c r="O118" s="29" t="n"/>
      <c r="P118" s="29" t="n"/>
      <c r="Q118" s="10" t="n"/>
      <c r="R118" s="30">
        <f>IF(OR(L118="",L118="N/A"),"",IF(L118="Tidak Ada",0,IF(P118="","",IF(P118="Tidak Sesuai",0,IF(AND(N118="Ya",O118="Ya",P118="Sesuai"),1,0.5)))))</f>
        <v/>
      </c>
      <c r="S118" s="30">
        <f>IF(L118="N/A","N/A",IF(R118="","Belum dinilai",IF(R118=1,"Memenuhi",IF(R118=0,"Tidak Memenuhi","Memenuhi Sebagian"))))</f>
        <v/>
      </c>
      <c r="T118" s="31" t="inlineStr">
        <is>
          <t>1.4-1</t>
        </is>
      </c>
      <c r="U118" s="77" t="n"/>
    </row>
    <row r="119" ht="15" customHeight="1">
      <c r="A119" s="77" t="n"/>
      <c r="B119" s="77" t="n"/>
      <c r="C119" s="77" t="n"/>
      <c r="D119" s="77" t="n"/>
      <c r="E119" s="33" t="inlineStr">
        <is>
          <t>C</t>
        </is>
      </c>
      <c r="F119" s="79" t="n"/>
      <c r="G119" s="79" t="n"/>
      <c r="H119" s="79" t="n"/>
      <c r="I119" s="28" t="n">
        <v>5</v>
      </c>
      <c r="J119" s="62" t="inlineStr">
        <is>
          <t>Analisis Beban Kerja (ABK)</t>
        </is>
      </c>
      <c r="K119" s="78" t="inlineStr"/>
      <c r="L119" s="29" t="n"/>
      <c r="M119" s="10" t="n"/>
      <c r="N119" s="29" t="n"/>
      <c r="O119" s="29" t="n"/>
      <c r="P119" s="29" t="n"/>
      <c r="Q119" s="10" t="n"/>
      <c r="R119" s="30">
        <f>IF(OR(L119="",L119="N/A"),"",IF(L119="Tidak Ada",0,IF(P119="","",IF(P119="Tidak Sesuai",0,IF(AND(N119="Ya",O119="Ya",P119="Sesuai"),1,0.5)))))</f>
        <v/>
      </c>
      <c r="S119" s="30">
        <f>IF(L119="N/A","N/A",IF(R119="","Belum dinilai",IF(R119=1,"Memenuhi",IF(R119=0,"Tidak Memenuhi","Memenuhi Sebagian"))))</f>
        <v/>
      </c>
      <c r="T119" s="31" t="inlineStr">
        <is>
          <t>1.4-1</t>
        </is>
      </c>
      <c r="U119" s="79" t="n"/>
    </row>
    <row r="120" ht="39" customHeight="1">
      <c r="A120" s="77" t="n"/>
      <c r="B120" s="77" t="n"/>
      <c r="C120" s="77" t="n"/>
      <c r="D120" s="77" t="n"/>
      <c r="E120" s="34" t="inlineStr">
        <is>
          <t>D</t>
        </is>
      </c>
      <c r="F120" s="62" t="inlineStr">
        <is>
          <t>D – Komunikasi &amp; Pemahaman</t>
        </is>
      </c>
      <c r="G120" s="62" t="inlineStr">
        <is>
          <t>Proses bisnis organisasi dapat didukung dengan struktur organisasi yang ditetapkan dan personel pada setiap lini mengetahui arus data dan informasi yang diperlukan dalam melaksanaan tugas dan fungsinya</t>
        </is>
      </c>
      <c r="H120" s="62" t="inlineStr">
        <is>
          <t>Proses bisnis organisasi dapat didukung dengan struktur organisasi yang ditetapkan dan personel pada setiap lini mengetahui arus data dan informasi yang diperlukan dalam melaksanaan tugas dan fungsinya</t>
        </is>
      </c>
      <c r="I120" s="28" t="n">
        <v>1</v>
      </c>
      <c r="J120" s="62" t="inlineStr">
        <is>
          <t>Dokumen Proses Bisnis OPD</t>
        </is>
      </c>
      <c r="K120" s="78" t="inlineStr"/>
      <c r="L120" s="29" t="n"/>
      <c r="M120" s="10" t="n"/>
      <c r="N120" s="29" t="n"/>
      <c r="O120" s="29" t="n"/>
      <c r="P120" s="29" t="n"/>
      <c r="Q120" s="10" t="n"/>
      <c r="R120" s="30">
        <f>IF(OR(L120="",L120="N/A"),"",IF(L120="Tidak Ada",0,IF(P120="","",IF(P120="Tidak Sesuai",0,IF(AND(N120="Ya",O120="Ya",P120="Sesuai"),1,0.5)))))</f>
        <v/>
      </c>
      <c r="S120" s="30">
        <f>IF(L120="N/A","N/A",IF(R120="","Belum dinilai",IF(R120=1,"Memenuhi",IF(R120=0,"Tidak Memenuhi","Memenuhi Sebagian"))))</f>
        <v/>
      </c>
      <c r="T120" s="31" t="inlineStr">
        <is>
          <t>1.4-1</t>
        </is>
      </c>
      <c r="U120" s="63">
        <f>IF(COUNT(R120:R122)=0,"",SUM(R120:R122)/COUNT(R120:R122))</f>
        <v/>
      </c>
    </row>
    <row r="121" ht="39" customHeight="1">
      <c r="A121" s="77" t="n"/>
      <c r="B121" s="77" t="n"/>
      <c r="C121" s="77" t="n"/>
      <c r="D121" s="77" t="n"/>
      <c r="E121" s="34" t="inlineStr">
        <is>
          <t>D</t>
        </is>
      </c>
      <c r="F121" s="77" t="n"/>
      <c r="G121" s="77" t="n"/>
      <c r="H121" s="77" t="n"/>
      <c r="I121" s="28" t="n">
        <v>2</v>
      </c>
      <c r="J121" s="62" t="inlineStr">
        <is>
          <t>SOP OPD</t>
        </is>
      </c>
      <c r="K121" s="78" t="inlineStr"/>
      <c r="L121" s="29" t="n"/>
      <c r="M121" s="10" t="n"/>
      <c r="N121" s="29" t="n"/>
      <c r="O121" s="29" t="n"/>
      <c r="P121" s="29" t="n"/>
      <c r="Q121" s="10" t="n"/>
      <c r="R121" s="30">
        <f>IF(OR(L121="",L121="N/A"),"",IF(L121="Tidak Ada",0,IF(P121="","",IF(P121="Tidak Sesuai",0,IF(AND(N121="Ya",O121="Ya",P121="Sesuai"),1,0.5)))))</f>
        <v/>
      </c>
      <c r="S121" s="30">
        <f>IF(L121="N/A","N/A",IF(R121="","Belum dinilai",IF(R121=1,"Memenuhi",IF(R121=0,"Tidak Memenuhi","Memenuhi Sebagian"))))</f>
        <v/>
      </c>
      <c r="T121" s="31" t="inlineStr">
        <is>
          <t>1.4-1</t>
        </is>
      </c>
      <c r="U121" s="77" t="n"/>
    </row>
    <row r="122" ht="39" customHeight="1">
      <c r="A122" s="77" t="n"/>
      <c r="B122" s="77" t="n"/>
      <c r="C122" s="77" t="n"/>
      <c r="D122" s="77" t="n"/>
      <c r="E122" s="34" t="inlineStr">
        <is>
          <t>D</t>
        </is>
      </c>
      <c r="F122" s="79" t="n"/>
      <c r="G122" s="79" t="n"/>
      <c r="H122" s="79" t="n"/>
      <c r="I122" s="28" t="n">
        <v>3</v>
      </c>
      <c r="J122" s="62" t="inlineStr">
        <is>
          <t>Bukti Sosialisasi Struktur Organisasi dan Tata Kerja</t>
        </is>
      </c>
      <c r="K122" s="78" t="inlineStr"/>
      <c r="L122" s="29" t="n"/>
      <c r="M122" s="10" t="n"/>
      <c r="N122" s="29" t="n"/>
      <c r="O122" s="29" t="n"/>
      <c r="P122" s="29" t="n"/>
      <c r="Q122" s="10" t="n"/>
      <c r="R122" s="30">
        <f>IF(OR(L122="",L122="N/A"),"",IF(L122="Tidak Ada",0,IF(P122="","",IF(P122="Tidak Sesuai",0,IF(AND(N122="Ya",O122="Ya",P122="Sesuai"),1,0.5)))))</f>
        <v/>
      </c>
      <c r="S122" s="30">
        <f>IF(L122="N/A","N/A",IF(R122="","Belum dinilai",IF(R122=1,"Memenuhi",IF(R122=0,"Tidak Memenuhi","Memenuhi Sebagian"))))</f>
        <v/>
      </c>
      <c r="T122" s="31" t="inlineStr">
        <is>
          <t>1.4-1</t>
        </is>
      </c>
      <c r="U122" s="79" t="n"/>
    </row>
    <row r="123" ht="27" customHeight="1">
      <c r="A123" s="77" t="n"/>
      <c r="B123" s="77" t="n"/>
      <c r="C123" s="77" t="n"/>
      <c r="D123" s="77" t="n"/>
      <c r="E123" s="35" t="inlineStr">
        <is>
          <t>E</t>
        </is>
      </c>
      <c r="F123" s="62" t="inlineStr">
        <is>
          <t>E – Kebijakan/Formalitas</t>
        </is>
      </c>
      <c r="G123" s="62" t="inlineStr">
        <is>
          <t>Terdapat penetapan struktur, tugas, dan fungsi organisasi</t>
        </is>
      </c>
      <c r="H123" s="62" t="inlineStr">
        <is>
          <t>Terdapat penetapan struktur, tugas, dan fungsi organisasi</t>
        </is>
      </c>
      <c r="I123" s="28" t="n">
        <v>1</v>
      </c>
      <c r="J123" s="62" t="inlineStr">
        <is>
          <t>Perda/Perkada Pembentukan dan Susunan Perangkat Daerah</t>
        </is>
      </c>
      <c r="K123" s="78" t="inlineStr"/>
      <c r="L123" s="29" t="n"/>
      <c r="M123" s="10" t="n"/>
      <c r="N123" s="29" t="n"/>
      <c r="O123" s="29" t="n"/>
      <c r="P123" s="29" t="n"/>
      <c r="Q123" s="10" t="n"/>
      <c r="R123" s="30">
        <f>IF(OR(L123="",L123="N/A"),"",IF(L123="Tidak Ada",0,IF(P123="","",IF(P123="Tidak Sesuai",0,IF(AND(N123="Ya",O123="Ya",P123="Sesuai"),1,0.5)))))</f>
        <v/>
      </c>
      <c r="S123" s="30">
        <f>IF(L123="N/A","N/A",IF(R123="","Belum dinilai",IF(R123=1,"Memenuhi",IF(R123=0,"Tidak Memenuhi","Memenuhi Sebagian"))))</f>
        <v/>
      </c>
      <c r="T123" s="31" t="inlineStr">
        <is>
          <t>1.4-1</t>
        </is>
      </c>
      <c r="U123" s="63">
        <f>IF(COUNT(R123:R125)=0,"",SUM(R123:R125)/COUNT(R123:R125))</f>
        <v/>
      </c>
    </row>
    <row r="124" ht="15" customHeight="1">
      <c r="A124" s="77" t="n"/>
      <c r="B124" s="77" t="n"/>
      <c r="C124" s="77" t="n"/>
      <c r="D124" s="77" t="n"/>
      <c r="E124" s="35" t="inlineStr">
        <is>
          <t>E</t>
        </is>
      </c>
      <c r="F124" s="77" t="n"/>
      <c r="G124" s="77" t="n"/>
      <c r="H124" s="77" t="n"/>
      <c r="I124" s="28" t="n">
        <v>2</v>
      </c>
      <c r="J124" s="62" t="inlineStr">
        <is>
          <t>Perkada SOTK OPD</t>
        </is>
      </c>
      <c r="K124" s="78" t="inlineStr"/>
      <c r="L124" s="29" t="n"/>
      <c r="M124" s="10" t="n"/>
      <c r="N124" s="29" t="n"/>
      <c r="O124" s="29" t="n"/>
      <c r="P124" s="29" t="n"/>
      <c r="Q124" s="10" t="n"/>
      <c r="R124" s="30">
        <f>IF(OR(L124="",L124="N/A"),"",IF(L124="Tidak Ada",0,IF(P124="","",IF(P124="Tidak Sesuai",0,IF(AND(N124="Ya",O124="Ya",P124="Sesuai"),1,0.5)))))</f>
        <v/>
      </c>
      <c r="S124" s="30">
        <f>IF(L124="N/A","N/A",IF(R124="","Belum dinilai",IF(R124=1,"Memenuhi",IF(R124=0,"Tidak Memenuhi","Memenuhi Sebagian"))))</f>
        <v/>
      </c>
      <c r="T124" s="31" t="inlineStr">
        <is>
          <t>1.4-1</t>
        </is>
      </c>
      <c r="U124" s="77" t="n"/>
    </row>
    <row r="125" ht="15" customHeight="1">
      <c r="A125" s="79" t="n"/>
      <c r="B125" s="79" t="n"/>
      <c r="C125" s="79" t="n"/>
      <c r="D125" s="79" t="n"/>
      <c r="E125" s="35" t="inlineStr">
        <is>
          <t>E</t>
        </is>
      </c>
      <c r="F125" s="79" t="n"/>
      <c r="G125" s="79" t="n"/>
      <c r="H125" s="79" t="n"/>
      <c r="I125" s="28" t="n">
        <v>3</v>
      </c>
      <c r="J125" s="62" t="inlineStr">
        <is>
          <t>Bagan Struktur Organisasi OPD</t>
        </is>
      </c>
      <c r="K125" s="78" t="inlineStr"/>
      <c r="L125" s="29" t="n"/>
      <c r="M125" s="10" t="n"/>
      <c r="N125" s="29" t="n"/>
      <c r="O125" s="29" t="n"/>
      <c r="P125" s="29" t="n"/>
      <c r="Q125" s="10" t="n"/>
      <c r="R125" s="30">
        <f>IF(OR(L125="",L125="N/A"),"",IF(L125="Tidak Ada",0,IF(P125="","",IF(P125="Tidak Sesuai",0,IF(AND(N125="Ya",O125="Ya",P125="Sesuai"),1,0.5)))))</f>
        <v/>
      </c>
      <c r="S125" s="30">
        <f>IF(L125="N/A","N/A",IF(R125="","Belum dinilai",IF(R125=1,"Memenuhi",IF(R125=0,"Tidak Memenuhi","Memenuhi Sebagian"))))</f>
        <v/>
      </c>
      <c r="T125" s="31" t="inlineStr">
        <is>
          <t>1.4-1</t>
        </is>
      </c>
      <c r="U125" s="79" t="n"/>
    </row>
    <row r="126" ht="39" customHeight="1">
      <c r="A126" s="56" t="inlineStr">
        <is>
          <t>1.5</t>
        </is>
      </c>
      <c r="B126" s="57" t="inlineStr">
        <is>
          <t>Pendelegasian Wewenang dan Tanggung Jawab yang Tepat</t>
        </is>
      </c>
      <c r="C126" s="58" t="n">
        <v>1</v>
      </c>
      <c r="D126" s="59" t="inlineStr">
        <is>
          <t>Wewenang dan tanggung jawab diberikan kepada pegawai yang tepat sesuai tingkatannya untuk mendukung efektivitas dan efisiensi pelaksanaan kegiatan dalam rangka percepatan pencapaian tujuan organisasi</t>
        </is>
      </c>
      <c r="E126" s="21" t="inlineStr">
        <is>
          <t>A</t>
        </is>
      </c>
      <c r="F126" s="60" t="inlineStr">
        <is>
          <t>A – Perbaikan Berkelanjutan</t>
        </is>
      </c>
      <c r="G126" s="60" t="inlineStr">
        <is>
          <t>Pimpinan organisasi memiliki akses untuk melihat proses pendelegasian wewenang dan tanggungjawab yang diberikan dan memonitor pelaksanaan tugas fungsi yang dijalankan untuk menjamin tujuan percepatan yang diharapkan dan mendukung perbaikan secara berkelanjutan.</t>
        </is>
      </c>
      <c r="H126" s="60" t="inlineStr">
        <is>
          <t>Pimpinan organisasi memiliki akses untuk melihat proses pendelegasian wewenang dan tanggungjawab yang diberikan dan memonitor pelaksanaan tugas fungsi yang dijalankan untuk menjamin tujuan percepatan yang diharapkan dan mendukung perbaikan secara berkelanjutan.</t>
        </is>
      </c>
      <c r="I126" s="22" t="n">
        <v>1</v>
      </c>
      <c r="J126" s="60" t="inlineStr">
        <is>
          <t>Laporan/rekapitulasi monitoring pelaksanaan pendelegasian wewenang</t>
        </is>
      </c>
      <c r="K126" s="76" t="inlineStr"/>
      <c r="L126" s="23" t="n"/>
      <c r="M126" s="24" t="n"/>
      <c r="N126" s="23" t="n"/>
      <c r="O126" s="23" t="n"/>
      <c r="P126" s="23" t="n"/>
      <c r="Q126" s="24" t="n"/>
      <c r="R126" s="25">
        <f>IF(OR(L126="",L126="N/A"),"",IF(L126="Tidak Ada",0,IF(P126="","",IF(P126="Tidak Sesuai",0,IF(AND(N126="Ya",O126="Ya",P126="Sesuai"),1,0.5)))))</f>
        <v/>
      </c>
      <c r="S126" s="25">
        <f>IF(L126="N/A","N/A",IF(R126="","Belum dinilai",IF(R126=1,"Memenuhi",IF(R126=0,"Tidak Memenuhi","Memenuhi Sebagian"))))</f>
        <v/>
      </c>
      <c r="T126" s="26" t="inlineStr">
        <is>
          <t>1.5-1</t>
        </is>
      </c>
      <c r="U126" s="61">
        <f>IF(COUNT(R126:R130)=0,"",SUM(R126:R130)/COUNT(R126:R130))</f>
        <v/>
      </c>
    </row>
    <row r="127" ht="39" customHeight="1">
      <c r="A127" s="77" t="n"/>
      <c r="B127" s="77" t="n"/>
      <c r="C127" s="77" t="n"/>
      <c r="D127" s="77" t="n"/>
      <c r="E127" s="27" t="inlineStr">
        <is>
          <t>A</t>
        </is>
      </c>
      <c r="F127" s="77" t="n"/>
      <c r="G127" s="77" t="n"/>
      <c r="H127" s="77" t="n"/>
      <c r="I127" s="28" t="n">
        <v>2</v>
      </c>
      <c r="J127" s="62" t="inlineStr">
        <is>
          <t>Bukti penggunaan aplikasi/sistem monitoring dan pelaporan, jika tersedia (dashboard)</t>
        </is>
      </c>
      <c r="K127" s="78" t="inlineStr"/>
      <c r="L127" s="29" t="n"/>
      <c r="M127" s="10" t="n"/>
      <c r="N127" s="29" t="n"/>
      <c r="O127" s="29" t="n"/>
      <c r="P127" s="29" t="n"/>
      <c r="Q127" s="10" t="n"/>
      <c r="R127" s="30">
        <f>IF(OR(L127="",L127="N/A"),"",IF(L127="Tidak Ada",0,IF(P127="","",IF(P127="Tidak Sesuai",0,IF(AND(N127="Ya",O127="Ya",P127="Sesuai"),1,0.5)))))</f>
        <v/>
      </c>
      <c r="S127" s="30">
        <f>IF(L127="N/A","N/A",IF(R127="","Belum dinilai",IF(R127=1,"Memenuhi",IF(R127=0,"Tidak Memenuhi","Memenuhi Sebagian"))))</f>
        <v/>
      </c>
      <c r="T127" s="31" t="inlineStr">
        <is>
          <t>1.5-1</t>
        </is>
      </c>
      <c r="U127" s="77" t="n"/>
    </row>
    <row r="128" ht="39" customHeight="1">
      <c r="A128" s="77" t="n"/>
      <c r="B128" s="77" t="n"/>
      <c r="C128" s="77" t="n"/>
      <c r="D128" s="77" t="n"/>
      <c r="E128" s="27" t="inlineStr">
        <is>
          <t>A</t>
        </is>
      </c>
      <c r="F128" s="77" t="n"/>
      <c r="G128" s="77" t="n"/>
      <c r="H128" s="77" t="n"/>
      <c r="I128" s="28" t="n">
        <v>3</v>
      </c>
      <c r="J128" s="62" t="inlineStr">
        <is>
          <t>Dokumen arahan/teguran pimpinan atas hasil monitoring, jika ada</t>
        </is>
      </c>
      <c r="K128" s="78" t="inlineStr"/>
      <c r="L128" s="29" t="n"/>
      <c r="M128" s="10" t="n"/>
      <c r="N128" s="29" t="n"/>
      <c r="O128" s="29" t="n"/>
      <c r="P128" s="29" t="n"/>
      <c r="Q128" s="10" t="n"/>
      <c r="R128" s="30">
        <f>IF(OR(L128="",L128="N/A"),"",IF(L128="Tidak Ada",0,IF(P128="","",IF(P128="Tidak Sesuai",0,IF(AND(N128="Ya",O128="Ya",P128="Sesuai"),1,0.5)))))</f>
        <v/>
      </c>
      <c r="S128" s="30">
        <f>IF(L128="N/A","N/A",IF(R128="","Belum dinilai",IF(R128=1,"Memenuhi",IF(R128=0,"Tidak Memenuhi","Memenuhi Sebagian"))))</f>
        <v/>
      </c>
      <c r="T128" s="31" t="inlineStr">
        <is>
          <t>1.5-1</t>
        </is>
      </c>
      <c r="U128" s="77" t="n"/>
    </row>
    <row r="129" ht="39" customHeight="1">
      <c r="A129" s="77" t="n"/>
      <c r="B129" s="77" t="n"/>
      <c r="C129" s="77" t="n"/>
      <c r="D129" s="77" t="n"/>
      <c r="E129" s="27" t="inlineStr">
        <is>
          <t>A</t>
        </is>
      </c>
      <c r="F129" s="77" t="n"/>
      <c r="G129" s="77" t="n"/>
      <c r="H129" s="77" t="n"/>
      <c r="I129" s="28" t="n">
        <v>4</v>
      </c>
      <c r="J129" s="62" t="inlineStr">
        <is>
          <t>Dokumen tindak lanjut masukan/keluhan stakeholder terkait pelayanan, jika ada</t>
        </is>
      </c>
      <c r="K129" s="78" t="inlineStr"/>
      <c r="L129" s="29" t="n"/>
      <c r="M129" s="10" t="n"/>
      <c r="N129" s="29" t="n"/>
      <c r="O129" s="29" t="n"/>
      <c r="P129" s="29" t="n"/>
      <c r="Q129" s="10" t="n"/>
      <c r="R129" s="30">
        <f>IF(OR(L129="",L129="N/A"),"",IF(L129="Tidak Ada",0,IF(P129="","",IF(P129="Tidak Sesuai",0,IF(AND(N129="Ya",O129="Ya",P129="Sesuai"),1,0.5)))))</f>
        <v/>
      </c>
      <c r="S129" s="30">
        <f>IF(L129="N/A","N/A",IF(R129="","Belum dinilai",IF(R129=1,"Memenuhi",IF(R129=0,"Tidak Memenuhi","Memenuhi Sebagian"))))</f>
        <v/>
      </c>
      <c r="T129" s="31" t="inlineStr">
        <is>
          <t>1.5-1</t>
        </is>
      </c>
      <c r="U129" s="77" t="n"/>
    </row>
    <row r="130" ht="39" customHeight="1">
      <c r="A130" s="77" t="n"/>
      <c r="B130" s="77" t="n"/>
      <c r="C130" s="77" t="n"/>
      <c r="D130" s="77" t="n"/>
      <c r="E130" s="27" t="inlineStr">
        <is>
          <t>A</t>
        </is>
      </c>
      <c r="F130" s="79" t="n"/>
      <c r="G130" s="79" t="n"/>
      <c r="H130" s="79" t="n"/>
      <c r="I130" s="28" t="n">
        <v>5</v>
      </c>
      <c r="J130" s="62" t="inlineStr">
        <is>
          <t>Bukti perbaikan SOP atau mekanisme pendelegasian berdasarkan hasil monitoring.</t>
        </is>
      </c>
      <c r="K130" s="78" t="inlineStr"/>
      <c r="L130" s="29" t="n"/>
      <c r="M130" s="10" t="n"/>
      <c r="N130" s="29" t="n"/>
      <c r="O130" s="29" t="n"/>
      <c r="P130" s="29" t="n"/>
      <c r="Q130" s="10" t="n"/>
      <c r="R130" s="30">
        <f>IF(OR(L130="",L130="N/A"),"",IF(L130="Tidak Ada",0,IF(P130="","",IF(P130="Tidak Sesuai",0,IF(AND(N130="Ya",O130="Ya",P130="Sesuai"),1,0.5)))))</f>
        <v/>
      </c>
      <c r="S130" s="30">
        <f>IF(L130="N/A","N/A",IF(R130="","Belum dinilai",IF(R130=1,"Memenuhi",IF(R130=0,"Tidak Memenuhi","Memenuhi Sebagian"))))</f>
        <v/>
      </c>
      <c r="T130" s="31" t="inlineStr">
        <is>
          <t>1.5-1</t>
        </is>
      </c>
      <c r="U130" s="79" t="n"/>
    </row>
    <row r="131" ht="51" customHeight="1">
      <c r="A131" s="77" t="n"/>
      <c r="B131" s="77" t="n"/>
      <c r="C131" s="77" t="n"/>
      <c r="D131" s="77" t="n"/>
      <c r="E131" s="32" t="inlineStr">
        <is>
          <t>B</t>
        </is>
      </c>
      <c r="F131" s="62" t="inlineStr">
        <is>
          <t>B – Evaluasi &amp; Tindak Lanjut</t>
        </is>
      </c>
      <c r="G131" s="62" t="inlineStr">
        <is>
          <t>Efisiensi dan efektivitas pelaksanaan wewenang dan tanggung jawab organisasi yang didelegasikan dapat dilihat melalui evaluasi berkala atas pelaksanaan wewenang dan tanggungjawab serta analisis terhadap kualitas hasil pelaksanaan tugas/fungsi yang dilaksanakan (respon stakeholder)</t>
        </is>
      </c>
      <c r="H131" s="62" t="inlineStr">
        <is>
          <t>Efisiensi dan efektivitas pelaksanaan wewenang dan tanggung jawab organisasi yang didelegasikan dapat dilihat melalui evaluasi berkala atas pelaksanaan wewenang dan tanggungjawab serta analisis terhadap kualitas hasil pelaksanaan tugas/fungsi yang dilaksanakan (respon stakeholder)</t>
        </is>
      </c>
      <c r="I131" s="28" t="n">
        <v>1</v>
      </c>
      <c r="J131" s="62" t="inlineStr">
        <is>
          <t>Laporan Evaluasi Pelaksanaan Pendelegasian Wewenang</t>
        </is>
      </c>
      <c r="K131" s="78" t="inlineStr"/>
      <c r="L131" s="29" t="n"/>
      <c r="M131" s="10" t="n"/>
      <c r="N131" s="29" t="n"/>
      <c r="O131" s="29" t="n"/>
      <c r="P131" s="29" t="n"/>
      <c r="Q131" s="10" t="n"/>
      <c r="R131" s="30">
        <f>IF(OR(L131="",L131="N/A"),"",IF(L131="Tidak Ada",0,IF(P131="","",IF(P131="Tidak Sesuai",0,IF(AND(N131="Ya",O131="Ya",P131="Sesuai"),1,0.5)))))</f>
        <v/>
      </c>
      <c r="S131" s="30">
        <f>IF(L131="N/A","N/A",IF(R131="","Belum dinilai",IF(R131=1,"Memenuhi",IF(R131=0,"Tidak Memenuhi","Memenuhi Sebagian"))))</f>
        <v/>
      </c>
      <c r="T131" s="31" t="inlineStr">
        <is>
          <t>1.5-1</t>
        </is>
      </c>
      <c r="U131" s="63">
        <f>IF(COUNT(R131:R133)=0,"",SUM(R131:R133)/COUNT(R131:R133))</f>
        <v/>
      </c>
    </row>
    <row r="132" ht="51" customHeight="1">
      <c r="A132" s="77" t="n"/>
      <c r="B132" s="77" t="n"/>
      <c r="C132" s="77" t="n"/>
      <c r="D132" s="77" t="n"/>
      <c r="E132" s="32" t="inlineStr">
        <is>
          <t>B</t>
        </is>
      </c>
      <c r="F132" s="77" t="n"/>
      <c r="G132" s="77" t="n"/>
      <c r="H132" s="77" t="n"/>
      <c r="I132" s="28" t="n">
        <v>2</v>
      </c>
      <c r="J132" s="62" t="inlineStr">
        <is>
          <t>Laporan Hasil Monitoring Pendelegasian Wewenang</t>
        </is>
      </c>
      <c r="K132" s="78" t="inlineStr"/>
      <c r="L132" s="29" t="n"/>
      <c r="M132" s="10" t="n"/>
      <c r="N132" s="29" t="n"/>
      <c r="O132" s="29" t="n"/>
      <c r="P132" s="29" t="n"/>
      <c r="Q132" s="10" t="n"/>
      <c r="R132" s="30">
        <f>IF(OR(L132="",L132="N/A"),"",IF(L132="Tidak Ada",0,IF(P132="","",IF(P132="Tidak Sesuai",0,IF(AND(N132="Ya",O132="Ya",P132="Sesuai"),1,0.5)))))</f>
        <v/>
      </c>
      <c r="S132" s="30">
        <f>IF(L132="N/A","N/A",IF(R132="","Belum dinilai",IF(R132=1,"Memenuhi",IF(R132=0,"Tidak Memenuhi","Memenuhi Sebagian"))))</f>
        <v/>
      </c>
      <c r="T132" s="31" t="inlineStr">
        <is>
          <t>1.5-1</t>
        </is>
      </c>
      <c r="U132" s="77" t="n"/>
    </row>
    <row r="133" ht="51" customHeight="1">
      <c r="A133" s="77" t="n"/>
      <c r="B133" s="77" t="n"/>
      <c r="C133" s="77" t="n"/>
      <c r="D133" s="77" t="n"/>
      <c r="E133" s="32" t="inlineStr">
        <is>
          <t>B</t>
        </is>
      </c>
      <c r="F133" s="79" t="n"/>
      <c r="G133" s="79" t="n"/>
      <c r="H133" s="79" t="n"/>
      <c r="I133" s="28" t="n">
        <v>3</v>
      </c>
      <c r="J133" s="62" t="inlineStr">
        <is>
          <t>Matriks Tindak Lanjut Hasil Evaluasi</t>
        </is>
      </c>
      <c r="K133" s="78" t="inlineStr"/>
      <c r="L133" s="29" t="n"/>
      <c r="M133" s="10" t="n"/>
      <c r="N133" s="29" t="n"/>
      <c r="O133" s="29" t="n"/>
      <c r="P133" s="29" t="n"/>
      <c r="Q133" s="10" t="n"/>
      <c r="R133" s="30">
        <f>IF(OR(L133="",L133="N/A"),"",IF(L133="Tidak Ada",0,IF(P133="","",IF(P133="Tidak Sesuai",0,IF(AND(N133="Ya",O133="Ya",P133="Sesuai"),1,0.5)))))</f>
        <v/>
      </c>
      <c r="S133" s="30">
        <f>IF(L133="N/A","N/A",IF(R133="","Belum dinilai",IF(R133=1,"Memenuhi",IF(R133=0,"Tidak Memenuhi","Memenuhi Sebagian"))))</f>
        <v/>
      </c>
      <c r="T133" s="31" t="inlineStr">
        <is>
          <t>1.5-1</t>
        </is>
      </c>
      <c r="U133" s="79" t="n"/>
    </row>
    <row r="134" ht="27" customHeight="1">
      <c r="A134" s="77" t="n"/>
      <c r="B134" s="77" t="n"/>
      <c r="C134" s="77" t="n"/>
      <c r="D134" s="77" t="n"/>
      <c r="E134" s="33" t="inlineStr">
        <is>
          <t>C</t>
        </is>
      </c>
      <c r="F134" s="62" t="inlineStr">
        <is>
          <t>C – Implementasi</t>
        </is>
      </c>
      <c r="G134" s="62" t="inlineStr">
        <is>
          <t>Pelaksanaan tugas dan fungsi yang didelegasikan dilaksanakan sesuai dengan kebijakan/prosedur yang ditetapkan</t>
        </is>
      </c>
      <c r="H134" s="62" t="inlineStr">
        <is>
          <t>Pelaksanaan tugas dan fungsi yang didelegasikan dilaksanakan sesuai dengan kebijakan/prosedur yang ditetapkan</t>
        </is>
      </c>
      <c r="I134" s="28" t="n">
        <v>1</v>
      </c>
      <c r="J134" s="62" t="inlineStr">
        <is>
          <t>SK/Surat Penetapan Penerima Delegasi Wewenang</t>
        </is>
      </c>
      <c r="K134" s="78" t="inlineStr"/>
      <c r="L134" s="29" t="inlineStr">
        <is>
          <t>Ada</t>
        </is>
      </c>
      <c r="M134" s="66" t="inlineStr">
        <is>
          <t>Surat Plh. Pelimpahan Tugas</t>
        </is>
      </c>
      <c r="N134" s="29" t="inlineStr">
        <is>
          <t>Ya</t>
        </is>
      </c>
      <c r="O134" s="29" t="inlineStr">
        <is>
          <t>Ya</t>
        </is>
      </c>
      <c r="P134" s="29" t="inlineStr">
        <is>
          <t>Sesuai</t>
        </is>
      </c>
      <c r="Q134" s="10" t="n"/>
      <c r="R134" s="30">
        <f>IF(OR(L134="",L134="N/A"),"",IF(L134="Tidak Ada",0,IF(P134="","",IF(P134="Tidak Sesuai",0,IF(AND(N134="Ya",O134="Ya",P134="Sesuai"),1,0.5)))))</f>
        <v/>
      </c>
      <c r="S134" s="30">
        <f>IF(L134="N/A","N/A",IF(R134="","Belum dinilai",IF(R134=1,"Memenuhi",IF(R134=0,"Tidak Memenuhi","Memenuhi Sebagian"))))</f>
        <v/>
      </c>
      <c r="T134" s="31" t="inlineStr">
        <is>
          <t>1.5-1</t>
        </is>
      </c>
      <c r="U134" s="63">
        <f>IF(COUNT(R134:R136)=0,"",SUM(R134:R136)/COUNT(R134:R136))</f>
        <v/>
      </c>
    </row>
    <row r="135" ht="27" customHeight="1">
      <c r="A135" s="77" t="n"/>
      <c r="B135" s="77" t="n"/>
      <c r="C135" s="77" t="n"/>
      <c r="D135" s="77" t="n"/>
      <c r="E135" s="33" t="inlineStr">
        <is>
          <t>C</t>
        </is>
      </c>
      <c r="F135" s="77" t="n"/>
      <c r="G135" s="77" t="n"/>
      <c r="H135" s="77" t="n"/>
      <c r="I135" s="28" t="n">
        <v>2</v>
      </c>
      <c r="J135" s="62" t="inlineStr">
        <is>
          <t>Dokumen pelaksanaan tugas oleh pejabat penerima delegasi</t>
        </is>
      </c>
      <c r="K135" s="78" t="inlineStr"/>
      <c r="L135" s="29" t="n"/>
      <c r="M135" s="10" t="n"/>
      <c r="N135" s="29" t="n"/>
      <c r="O135" s="29" t="n"/>
      <c r="P135" s="29" t="n"/>
      <c r="Q135" s="10" t="n"/>
      <c r="R135" s="30">
        <f>IF(OR(L135="",L135="N/A"),"",IF(L135="Tidak Ada",0,IF(P135="","",IF(P135="Tidak Sesuai",0,IF(AND(N135="Ya",O135="Ya",P135="Sesuai"),1,0.5)))))</f>
        <v/>
      </c>
      <c r="S135" s="30">
        <f>IF(L135="N/A","N/A",IF(R135="","Belum dinilai",IF(R135=1,"Memenuhi",IF(R135=0,"Tidak Memenuhi","Memenuhi Sebagian"))))</f>
        <v/>
      </c>
      <c r="T135" s="31" t="inlineStr">
        <is>
          <t>1.5-1</t>
        </is>
      </c>
      <c r="U135" s="77" t="n"/>
    </row>
    <row r="136" ht="27" customHeight="1">
      <c r="A136" s="77" t="n"/>
      <c r="B136" s="77" t="n"/>
      <c r="C136" s="77" t="n"/>
      <c r="D136" s="77" t="n"/>
      <c r="E136" s="33" t="inlineStr">
        <is>
          <t>C</t>
        </is>
      </c>
      <c r="F136" s="79" t="n"/>
      <c r="G136" s="79" t="n"/>
      <c r="H136" s="79" t="n"/>
      <c r="I136" s="28" t="n">
        <v>3</v>
      </c>
      <c r="J136" s="62" t="inlineStr">
        <is>
          <t>Laporan pertanggungjawaban/pelaporan pelaksanaan kewenangan</t>
        </is>
      </c>
      <c r="K136" s="78" t="inlineStr"/>
      <c r="L136" s="29" t="n"/>
      <c r="M136" s="10" t="n"/>
      <c r="N136" s="29" t="n"/>
      <c r="O136" s="29" t="n"/>
      <c r="P136" s="29" t="n"/>
      <c r="Q136" s="10" t="n"/>
      <c r="R136" s="30">
        <f>IF(OR(L136="",L136="N/A"),"",IF(L136="Tidak Ada",0,IF(P136="","",IF(P136="Tidak Sesuai",0,IF(AND(N136="Ya",O136="Ya",P136="Sesuai"),1,0.5)))))</f>
        <v/>
      </c>
      <c r="S136" s="30">
        <f>IF(L136="N/A","N/A",IF(R136="","Belum dinilai",IF(R136=1,"Memenuhi",IF(R136=0,"Tidak Memenuhi","Memenuhi Sebagian"))))</f>
        <v/>
      </c>
      <c r="T136" s="31" t="inlineStr">
        <is>
          <t>1.5-1</t>
        </is>
      </c>
      <c r="U136" s="79" t="n"/>
    </row>
    <row r="137" ht="27" customHeight="1">
      <c r="A137" s="77" t="n"/>
      <c r="B137" s="77" t="n"/>
      <c r="C137" s="77" t="n"/>
      <c r="D137" s="77" t="n"/>
      <c r="E137" s="34" t="inlineStr">
        <is>
          <t>D</t>
        </is>
      </c>
      <c r="F137" s="62" t="inlineStr">
        <is>
          <t>D – Komunikasi &amp; Pemahaman</t>
        </is>
      </c>
      <c r="G137" s="62" t="inlineStr">
        <is>
          <t>Kegiatan/prosedur yang dalam pelaksanaannya telah didelegasikan kepada struktur dibawahnya telah dipahami dan diketahui oleh pihak terkait</t>
        </is>
      </c>
      <c r="H137" s="62" t="inlineStr">
        <is>
          <t>Kegiatan/prosedur yang dalam pelaksanaannya telah didelegasikan kepada struktur dibawahnya telah dipahami dan diketahui oleh pihak terkait</t>
        </is>
      </c>
      <c r="I137" s="28" t="n">
        <v>1</v>
      </c>
      <c r="J137" s="62" t="inlineStr">
        <is>
          <t>SK/Keputusan Pendelegasian Wewenang</t>
        </is>
      </c>
      <c r="K137" s="78" t="inlineStr"/>
      <c r="L137" s="29" t="n"/>
      <c r="M137" s="10" t="n"/>
      <c r="N137" s="29" t="n"/>
      <c r="O137" s="29" t="n"/>
      <c r="P137" s="29" t="n"/>
      <c r="Q137" s="10" t="n"/>
      <c r="R137" s="30">
        <f>IF(OR(L137="",L137="N/A"),"",IF(L137="Tidak Ada",0,IF(P137="","",IF(P137="Tidak Sesuai",0,IF(AND(N137="Ya",O137="Ya",P137="Sesuai"),1,0.5)))))</f>
        <v/>
      </c>
      <c r="S137" s="30">
        <f>IF(L137="N/A","N/A",IF(R137="","Belum dinilai",IF(R137=1,"Memenuhi",IF(R137=0,"Tidak Memenuhi","Memenuhi Sebagian"))))</f>
        <v/>
      </c>
      <c r="T137" s="31" t="inlineStr">
        <is>
          <t>1.5-1</t>
        </is>
      </c>
      <c r="U137" s="63">
        <f>IF(COUNT(R137:R139)=0,"",SUM(R137:R139)/COUNT(R137:R139))</f>
        <v/>
      </c>
    </row>
    <row r="138" ht="27" customHeight="1">
      <c r="A138" s="77" t="n"/>
      <c r="B138" s="77" t="n"/>
      <c r="C138" s="77" t="n"/>
      <c r="D138" s="77" t="n"/>
      <c r="E138" s="34" t="inlineStr">
        <is>
          <t>D</t>
        </is>
      </c>
      <c r="F138" s="77" t="n"/>
      <c r="G138" s="77" t="n"/>
      <c r="H138" s="77" t="n"/>
      <c r="I138" s="28" t="n">
        <v>2</v>
      </c>
      <c r="J138" s="62" t="inlineStr">
        <is>
          <t>SOP Pendelegasian Wewenang</t>
        </is>
      </c>
      <c r="K138" s="78" t="inlineStr"/>
      <c r="L138" s="29" t="n"/>
      <c r="M138" s="10" t="n"/>
      <c r="N138" s="29" t="n"/>
      <c r="O138" s="29" t="n"/>
      <c r="P138" s="29" t="n"/>
      <c r="Q138" s="10" t="n"/>
      <c r="R138" s="30">
        <f>IF(OR(L138="",L138="N/A"),"",IF(L138="Tidak Ada",0,IF(P138="","",IF(P138="Tidak Sesuai",0,IF(AND(N138="Ya",O138="Ya",P138="Sesuai"),1,0.5)))))</f>
        <v/>
      </c>
      <c r="S138" s="30">
        <f>IF(L138="N/A","N/A",IF(R138="","Belum dinilai",IF(R138=1,"Memenuhi",IF(R138=0,"Tidak Memenuhi","Memenuhi Sebagian"))))</f>
        <v/>
      </c>
      <c r="T138" s="31" t="inlineStr">
        <is>
          <t>1.5-1</t>
        </is>
      </c>
      <c r="U138" s="77" t="n"/>
    </row>
    <row r="139" ht="27" customHeight="1">
      <c r="A139" s="77" t="n"/>
      <c r="B139" s="77" t="n"/>
      <c r="C139" s="77" t="n"/>
      <c r="D139" s="77" t="n"/>
      <c r="E139" s="34" t="inlineStr">
        <is>
          <t>D</t>
        </is>
      </c>
      <c r="F139" s="79" t="n"/>
      <c r="G139" s="79" t="n"/>
      <c r="H139" s="79" t="n"/>
      <c r="I139" s="28" t="n">
        <v>3</v>
      </c>
      <c r="J139" s="62" t="inlineStr">
        <is>
          <t>Notulen/Daftar Hadir Sosialisasi Pendelegasian Wewenang</t>
        </is>
      </c>
      <c r="K139" s="78" t="inlineStr"/>
      <c r="L139" s="29" t="n"/>
      <c r="M139" s="10" t="n"/>
      <c r="N139" s="29" t="n"/>
      <c r="O139" s="29" t="n"/>
      <c r="P139" s="29" t="n"/>
      <c r="Q139" s="10" t="n"/>
      <c r="R139" s="30">
        <f>IF(OR(L139="",L139="N/A"),"",IF(L139="Tidak Ada",0,IF(P139="","",IF(P139="Tidak Sesuai",0,IF(AND(N139="Ya",O139="Ya",P139="Sesuai"),1,0.5)))))</f>
        <v/>
      </c>
      <c r="S139" s="30">
        <f>IF(L139="N/A","N/A",IF(R139="","Belum dinilai",IF(R139=1,"Memenuhi",IF(R139=0,"Tidak Memenuhi","Memenuhi Sebagian"))))</f>
        <v/>
      </c>
      <c r="T139" s="31" t="inlineStr">
        <is>
          <t>1.5-1</t>
        </is>
      </c>
      <c r="U139" s="79" t="n"/>
    </row>
    <row r="140" ht="27" customHeight="1">
      <c r="A140" s="77" t="n"/>
      <c r="B140" s="77" t="n"/>
      <c r="C140" s="77" t="n"/>
      <c r="D140" s="77" t="n"/>
      <c r="E140" s="35" t="inlineStr">
        <is>
          <t>E</t>
        </is>
      </c>
      <c r="F140" s="62" t="inlineStr">
        <is>
          <t>E – Kebijakan/Formalitas</t>
        </is>
      </c>
      <c r="G140" s="62" t="inlineStr">
        <is>
          <t>Pimpinan organisasi menetapkan kebijakan terkait wewenang dan tanggung jawab pelaksanaan kegiatan kepada struktur di bawahnya secara berjenjang</t>
        </is>
      </c>
      <c r="H140" s="62" t="inlineStr">
        <is>
          <t>Pimpinan organisasi menetapkan kebijakan terkait wewenang dan tanggung jawab pelaksanaan kegiatan kepada struktur di bawahnya secara berjenjang</t>
        </is>
      </c>
      <c r="I140" s="28" t="n">
        <v>1</v>
      </c>
      <c r="J140" s="62" t="inlineStr">
        <is>
          <t>Peraturan Bupati tentang SOTK OPD</t>
        </is>
      </c>
      <c r="K140" s="78" t="inlineStr"/>
      <c r="L140" s="29" t="n"/>
      <c r="M140" s="10" t="n"/>
      <c r="N140" s="29" t="n"/>
      <c r="O140" s="29" t="n"/>
      <c r="P140" s="29" t="n"/>
      <c r="Q140" s="10" t="n"/>
      <c r="R140" s="30">
        <f>IF(OR(L140="",L140="N/A"),"",IF(L140="Tidak Ada",0,IF(P140="","",IF(P140="Tidak Sesuai",0,IF(AND(N140="Ya",O140="Ya",P140="Sesuai"),1,0.5)))))</f>
        <v/>
      </c>
      <c r="S140" s="30">
        <f>IF(L140="N/A","N/A",IF(R140="","Belum dinilai",IF(R140=1,"Memenuhi",IF(R140=0,"Tidak Memenuhi","Memenuhi Sebagian"))))</f>
        <v/>
      </c>
      <c r="T140" s="31" t="inlineStr">
        <is>
          <t>1.5-1</t>
        </is>
      </c>
      <c r="U140" s="63">
        <f>IF(COUNT(R140:R142)=0,"",SUM(R140:R142)/COUNT(R140:R142))</f>
        <v/>
      </c>
    </row>
    <row r="141" ht="27" customHeight="1">
      <c r="A141" s="77" t="n"/>
      <c r="B141" s="77" t="n"/>
      <c r="C141" s="77" t="n"/>
      <c r="D141" s="77" t="n"/>
      <c r="E141" s="35" t="inlineStr">
        <is>
          <t>E</t>
        </is>
      </c>
      <c r="F141" s="77" t="n"/>
      <c r="G141" s="77" t="n"/>
      <c r="H141" s="77" t="n"/>
      <c r="I141" s="28" t="n">
        <v>2</v>
      </c>
      <c r="J141" s="62" t="inlineStr">
        <is>
          <t>SK/Surat Keputusan tentang Pendelegasian Wewenang</t>
        </is>
      </c>
      <c r="K141" s="78" t="inlineStr"/>
      <c r="L141" s="29" t="n"/>
      <c r="M141" s="10" t="n"/>
      <c r="N141" s="29" t="n"/>
      <c r="O141" s="29" t="n"/>
      <c r="P141" s="29" t="n"/>
      <c r="Q141" s="10" t="n"/>
      <c r="R141" s="30">
        <f>IF(OR(L141="",L141="N/A"),"",IF(L141="Tidak Ada",0,IF(P141="","",IF(P141="Tidak Sesuai",0,IF(AND(N141="Ya",O141="Ya",P141="Sesuai"),1,0.5)))))</f>
        <v/>
      </c>
      <c r="S141" s="30">
        <f>IF(L141="N/A","N/A",IF(R141="","Belum dinilai",IF(R141=1,"Memenuhi",IF(R141=0,"Tidak Memenuhi","Memenuhi Sebagian"))))</f>
        <v/>
      </c>
      <c r="T141" s="31" t="inlineStr">
        <is>
          <t>1.5-1</t>
        </is>
      </c>
      <c r="U141" s="77" t="n"/>
    </row>
    <row r="142" ht="27" customHeight="1">
      <c r="A142" s="79" t="n"/>
      <c r="B142" s="79" t="n"/>
      <c r="C142" s="79" t="n"/>
      <c r="D142" s="79" t="n"/>
      <c r="E142" s="35" t="inlineStr">
        <is>
          <t>E</t>
        </is>
      </c>
      <c r="F142" s="79" t="n"/>
      <c r="G142" s="79" t="n"/>
      <c r="H142" s="79" t="n"/>
      <c r="I142" s="28" t="n">
        <v>3</v>
      </c>
      <c r="J142" s="62" t="inlineStr">
        <is>
          <t>SOP Pelaksanaan Pendelegasian Wewenang dan Tanggung Jawab</t>
        </is>
      </c>
      <c r="K142" s="78" t="inlineStr"/>
      <c r="L142" s="29" t="n"/>
      <c r="M142" s="10" t="n"/>
      <c r="N142" s="29" t="n"/>
      <c r="O142" s="29" t="n"/>
      <c r="P142" s="29" t="n"/>
      <c r="Q142" s="10" t="n"/>
      <c r="R142" s="30">
        <f>IF(OR(L142="",L142="N/A"),"",IF(L142="Tidak Ada",0,IF(P142="","",IF(P142="Tidak Sesuai",0,IF(AND(N142="Ya",O142="Ya",P142="Sesuai"),1,0.5)))))</f>
        <v/>
      </c>
      <c r="S142" s="30">
        <f>IF(L142="N/A","N/A",IF(R142="","Belum dinilai",IF(R142=1,"Memenuhi",IF(R142=0,"Tidak Memenuhi","Memenuhi Sebagian"))))</f>
        <v/>
      </c>
      <c r="T142" s="31" t="inlineStr">
        <is>
          <t>1.5-1</t>
        </is>
      </c>
      <c r="U142" s="79" t="n"/>
    </row>
    <row r="143" ht="15" customHeight="1">
      <c r="A143" s="56" t="inlineStr">
        <is>
          <t>1.6</t>
        </is>
      </c>
      <c r="B143" s="57" t="inlineStr">
        <is>
          <t>Penyusunan dan Penerapan Kebijakan yang Sehat tentang Pembinaan SDM</t>
        </is>
      </c>
      <c r="C143" s="58" t="n">
        <v>1</v>
      </c>
      <c r="D143" s="59" t="inlineStr">
        <is>
          <t>Penerapan kebijakan manajemen dan praktik pembinaan SDM sehingga dapat digunakan secara maksimal untuk mencapai tujuan organisasi</t>
        </is>
      </c>
      <c r="E143" s="21" t="inlineStr">
        <is>
          <t>A</t>
        </is>
      </c>
      <c r="F143" s="60" t="inlineStr">
        <is>
          <t>A – Perbaikan Berkelanjutan</t>
        </is>
      </c>
      <c r="G143" s="60" t="inlineStr">
        <is>
          <t>Pengelolaan SDM telah diperbaiki secara berkelanjutan dan secara optimal mampu mendukung pencapaian tujuan organisasi</t>
        </is>
      </c>
      <c r="H143" s="60" t="inlineStr">
        <is>
          <t>Pengelolaan SDM telah diperbaiki secara berkelanjutan dan secara optimal mampu mendukung pencapaian tujuan organisasi</t>
        </is>
      </c>
      <c r="I143" s="22" t="n">
        <v>1</v>
      </c>
      <c r="J143" s="60" t="inlineStr">
        <is>
          <t>Laporan Evaluasi Pengelolaan SDM</t>
        </is>
      </c>
      <c r="K143" s="76" t="inlineStr"/>
      <c r="L143" s="23" t="n"/>
      <c r="M143" s="24" t="n"/>
      <c r="N143" s="23" t="n"/>
      <c r="O143" s="23" t="n"/>
      <c r="P143" s="23" t="n"/>
      <c r="Q143" s="24" t="n"/>
      <c r="R143" s="25">
        <f>IF(OR(L143="",L143="N/A"),"",IF(L143="Tidak Ada",0,IF(P143="","",IF(P143="Tidak Sesuai",0,IF(AND(N143="Ya",O143="Ya",P143="Sesuai"),1,0.5)))))</f>
        <v/>
      </c>
      <c r="S143" s="25">
        <f>IF(L143="N/A","N/A",IF(R143="","Belum dinilai",IF(R143=1,"Memenuhi",IF(R143=0,"Tidak Memenuhi","Memenuhi Sebagian"))))</f>
        <v/>
      </c>
      <c r="T143" s="26" t="inlineStr">
        <is>
          <t>1.6-1</t>
        </is>
      </c>
      <c r="U143" s="61">
        <f>IF(COUNT(R143:R148)=0,"",SUM(R143:R148)/COUNT(R143:R148))</f>
        <v/>
      </c>
    </row>
    <row r="144" ht="27" customHeight="1">
      <c r="A144" s="77" t="n"/>
      <c r="B144" s="77" t="n"/>
      <c r="C144" s="77" t="n"/>
      <c r="D144" s="77" t="n"/>
      <c r="E144" s="27" t="inlineStr">
        <is>
          <t>A</t>
        </is>
      </c>
      <c r="F144" s="77" t="n"/>
      <c r="G144" s="77" t="n"/>
      <c r="H144" s="77" t="n"/>
      <c r="I144" s="28" t="n">
        <v>2</v>
      </c>
      <c r="J144" s="62" t="inlineStr">
        <is>
          <t>Dokumen Tindak Lanjut/Pengembangan SDM</t>
        </is>
      </c>
      <c r="K144" s="78" t="inlineStr"/>
      <c r="L144" s="29" t="n"/>
      <c r="M144" s="10" t="n"/>
      <c r="N144" s="29" t="n"/>
      <c r="O144" s="29" t="n"/>
      <c r="P144" s="29" t="n"/>
      <c r="Q144" s="10" t="n"/>
      <c r="R144" s="30">
        <f>IF(OR(L144="",L144="N/A"),"",IF(L144="Tidak Ada",0,IF(P144="","",IF(P144="Tidak Sesuai",0,IF(AND(N144="Ya",O144="Ya",P144="Sesuai"),1,0.5)))))</f>
        <v/>
      </c>
      <c r="S144" s="30">
        <f>IF(L144="N/A","N/A",IF(R144="","Belum dinilai",IF(R144=1,"Memenuhi",IF(R144=0,"Tidak Memenuhi","Memenuhi Sebagian"))))</f>
        <v/>
      </c>
      <c r="T144" s="31" t="inlineStr">
        <is>
          <t>1.6-1</t>
        </is>
      </c>
      <c r="U144" s="77" t="n"/>
    </row>
    <row r="145" ht="27" customHeight="1">
      <c r="A145" s="77" t="n"/>
      <c r="B145" s="77" t="n"/>
      <c r="C145" s="77" t="n"/>
      <c r="D145" s="77" t="n"/>
      <c r="E145" s="27" t="inlineStr">
        <is>
          <t>A</t>
        </is>
      </c>
      <c r="F145" s="77" t="n"/>
      <c r="G145" s="77" t="n"/>
      <c r="H145" s="77" t="n"/>
      <c r="I145" s="28" t="n">
        <v>3</v>
      </c>
      <c r="J145" s="62" t="inlineStr">
        <is>
          <t>Laporan Hasil Pengembangan Kompetensi Pegawai</t>
        </is>
      </c>
      <c r="K145" s="78" t="inlineStr"/>
      <c r="L145" s="29" t="n"/>
      <c r="M145" s="10" t="n"/>
      <c r="N145" s="29" t="n"/>
      <c r="O145" s="29" t="n"/>
      <c r="P145" s="29" t="n"/>
      <c r="Q145" s="10" t="n"/>
      <c r="R145" s="30">
        <f>IF(OR(L145="",L145="N/A"),"",IF(L145="Tidak Ada",0,IF(P145="","",IF(P145="Tidak Sesuai",0,IF(AND(N145="Ya",O145="Ya",P145="Sesuai"),1,0.5)))))</f>
        <v/>
      </c>
      <c r="S145" s="30">
        <f>IF(L145="N/A","N/A",IF(R145="","Belum dinilai",IF(R145=1,"Memenuhi",IF(R145=0,"Tidak Memenuhi","Memenuhi Sebagian"))))</f>
        <v/>
      </c>
      <c r="T145" s="31" t="inlineStr">
        <is>
          <t>1.6-1</t>
        </is>
      </c>
      <c r="U145" s="77" t="n"/>
    </row>
    <row r="146" ht="15" customHeight="1">
      <c r="A146" s="77" t="n"/>
      <c r="B146" s="77" t="n"/>
      <c r="C146" s="77" t="n"/>
      <c r="D146" s="77" t="n"/>
      <c r="E146" s="27" t="inlineStr">
        <is>
          <t>A</t>
        </is>
      </c>
      <c r="F146" s="77" t="n"/>
      <c r="G146" s="77" t="n"/>
      <c r="H146" s="77" t="n"/>
      <c r="I146" s="28" t="n">
        <v>4</v>
      </c>
      <c r="J146" s="62" t="inlineStr">
        <is>
          <t>SKP/Laporan Kinerja Pegawai</t>
        </is>
      </c>
      <c r="K146" s="78" t="inlineStr"/>
      <c r="L146" s="29" t="n"/>
      <c r="M146" s="10" t="n"/>
      <c r="N146" s="29" t="n"/>
      <c r="O146" s="29" t="n"/>
      <c r="P146" s="29" t="n"/>
      <c r="Q146" s="10" t="n"/>
      <c r="R146" s="30">
        <f>IF(OR(L146="",L146="N/A"),"",IF(L146="Tidak Ada",0,IF(P146="","",IF(P146="Tidak Sesuai",0,IF(AND(N146="Ya",O146="Ya",P146="Sesuai"),1,0.5)))))</f>
        <v/>
      </c>
      <c r="S146" s="30">
        <f>IF(L146="N/A","N/A",IF(R146="","Belum dinilai",IF(R146=1,"Memenuhi",IF(R146=0,"Tidak Memenuhi","Memenuhi Sebagian"))))</f>
        <v/>
      </c>
      <c r="T146" s="31" t="inlineStr">
        <is>
          <t>1.6-1</t>
        </is>
      </c>
      <c r="U146" s="77" t="n"/>
    </row>
    <row r="147" ht="15" customHeight="1">
      <c r="A147" s="77" t="n"/>
      <c r="B147" s="77" t="n"/>
      <c r="C147" s="77" t="n"/>
      <c r="D147" s="77" t="n"/>
      <c r="E147" s="27" t="inlineStr">
        <is>
          <t>A</t>
        </is>
      </c>
      <c r="F147" s="77" t="n"/>
      <c r="G147" s="77" t="n"/>
      <c r="H147" s="77" t="n"/>
      <c r="I147" s="28" t="n">
        <v>5</v>
      </c>
      <c r="J147" s="62" t="inlineStr">
        <is>
          <t>Laporan Kinerja OPD</t>
        </is>
      </c>
      <c r="K147" s="78" t="inlineStr"/>
      <c r="L147" s="29" t="n"/>
      <c r="M147" s="10" t="n"/>
      <c r="N147" s="29" t="n"/>
      <c r="O147" s="29" t="n"/>
      <c r="P147" s="29" t="n"/>
      <c r="Q147" s="10" t="n"/>
      <c r="R147" s="30">
        <f>IF(OR(L147="",L147="N/A"),"",IF(L147="Tidak Ada",0,IF(P147="","",IF(P147="Tidak Sesuai",0,IF(AND(N147="Ya",O147="Ya",P147="Sesuai"),1,0.5)))))</f>
        <v/>
      </c>
      <c r="S147" s="30">
        <f>IF(L147="N/A","N/A",IF(R147="","Belum dinilai",IF(R147=1,"Memenuhi",IF(R147=0,"Tidak Memenuhi","Memenuhi Sebagian"))))</f>
        <v/>
      </c>
      <c r="T147" s="31" t="inlineStr">
        <is>
          <t>1.6-1</t>
        </is>
      </c>
      <c r="U147" s="77" t="n"/>
    </row>
    <row r="148" ht="27" customHeight="1">
      <c r="A148" s="77" t="n"/>
      <c r="B148" s="77" t="n"/>
      <c r="C148" s="77" t="n"/>
      <c r="D148" s="77" t="n"/>
      <c r="E148" s="27" t="inlineStr">
        <is>
          <t>A</t>
        </is>
      </c>
      <c r="F148" s="79" t="n"/>
      <c r="G148" s="79" t="n"/>
      <c r="H148" s="79" t="n"/>
      <c r="I148" s="28" t="n">
        <v>6</v>
      </c>
      <c r="J148" s="62" t="inlineStr">
        <is>
          <t>Dokumen pemutakhiran/perbaikan kebijakan atau SOP pengelolaan SDM</t>
        </is>
      </c>
      <c r="K148" s="78" t="inlineStr"/>
      <c r="L148" s="29" t="n"/>
      <c r="M148" s="10" t="n"/>
      <c r="N148" s="29" t="n"/>
      <c r="O148" s="29" t="n"/>
      <c r="P148" s="29" t="n"/>
      <c r="Q148" s="10" t="n"/>
      <c r="R148" s="30">
        <f>IF(OR(L148="",L148="N/A"),"",IF(L148="Tidak Ada",0,IF(P148="","",IF(P148="Tidak Sesuai",0,IF(AND(N148="Ya",O148="Ya",P148="Sesuai"),1,0.5)))))</f>
        <v/>
      </c>
      <c r="S148" s="30">
        <f>IF(L148="N/A","N/A",IF(R148="","Belum dinilai",IF(R148=1,"Memenuhi",IF(R148=0,"Tidak Memenuhi","Memenuhi Sebagian"))))</f>
        <v/>
      </c>
      <c r="T148" s="31" t="inlineStr">
        <is>
          <t>1.6-1</t>
        </is>
      </c>
      <c r="U148" s="79" t="n"/>
    </row>
    <row r="149" ht="15" customHeight="1">
      <c r="A149" s="77" t="n"/>
      <c r="B149" s="77" t="n"/>
      <c r="C149" s="77" t="n"/>
      <c r="D149" s="77" t="n"/>
      <c r="E149" s="32" t="inlineStr">
        <is>
          <t>B</t>
        </is>
      </c>
      <c r="F149" s="62" t="inlineStr">
        <is>
          <t>B – Evaluasi &amp; Tindak Lanjut</t>
        </is>
      </c>
      <c r="G149" s="62" t="inlineStr">
        <is>
          <t>Kebijakan dan implementasi terkait pengelolaan SDM organisasi telah dievaluasi sehingga dapat diketahui efektivitasnya</t>
        </is>
      </c>
      <c r="H149" s="62" t="inlineStr">
        <is>
          <t>Kebijakan dan implementasi terkait pengelolaan SDM organisasi telah dievaluasi sehingga dapat diketahui efektivitasnya</t>
        </is>
      </c>
      <c r="I149" s="28" t="n">
        <v>1</v>
      </c>
      <c r="J149" s="62" t="inlineStr">
        <is>
          <t>Laporan Evaluasi Pengelolaan SDM</t>
        </is>
      </c>
      <c r="K149" s="78" t="inlineStr"/>
      <c r="L149" s="29" t="n"/>
      <c r="M149" s="10" t="n"/>
      <c r="N149" s="29" t="n"/>
      <c r="O149" s="29" t="n"/>
      <c r="P149" s="29" t="n"/>
      <c r="Q149" s="10" t="n"/>
      <c r="R149" s="30">
        <f>IF(OR(L149="",L149="N/A"),"",IF(L149="Tidak Ada",0,IF(P149="","",IF(P149="Tidak Sesuai",0,IF(AND(N149="Ya",O149="Ya",P149="Sesuai"),1,0.5)))))</f>
        <v/>
      </c>
      <c r="S149" s="30">
        <f>IF(L149="N/A","N/A",IF(R149="","Belum dinilai",IF(R149=1,"Memenuhi",IF(R149=0,"Tidak Memenuhi","Memenuhi Sebagian"))))</f>
        <v/>
      </c>
      <c r="T149" s="31" t="inlineStr">
        <is>
          <t>1.6-1</t>
        </is>
      </c>
      <c r="U149" s="63">
        <f>IF(COUNT(R149:R153)=0,"",SUM(R149:R153)/COUNT(R149:R153))</f>
        <v/>
      </c>
    </row>
    <row r="150" ht="27" customHeight="1">
      <c r="A150" s="77" t="n"/>
      <c r="B150" s="77" t="n"/>
      <c r="C150" s="77" t="n"/>
      <c r="D150" s="77" t="n"/>
      <c r="E150" s="32" t="inlineStr">
        <is>
          <t>B</t>
        </is>
      </c>
      <c r="F150" s="77" t="n"/>
      <c r="G150" s="77" t="n"/>
      <c r="H150" s="77" t="n"/>
      <c r="I150" s="28" t="n">
        <v>2</v>
      </c>
      <c r="J150" s="62" t="inlineStr">
        <is>
          <t>Laporan Monitoring Pengelolaan Kepegawaian</t>
        </is>
      </c>
      <c r="K150" s="78" t="inlineStr"/>
      <c r="L150" s="29" t="n"/>
      <c r="M150" s="10" t="n"/>
      <c r="N150" s="29" t="n"/>
      <c r="O150" s="29" t="n"/>
      <c r="P150" s="29" t="n"/>
      <c r="Q150" s="10" t="n"/>
      <c r="R150" s="30">
        <f>IF(OR(L150="",L150="N/A"),"",IF(L150="Tidak Ada",0,IF(P150="","",IF(P150="Tidak Sesuai",0,IF(AND(N150="Ya",O150="Ya",P150="Sesuai"),1,0.5)))))</f>
        <v/>
      </c>
      <c r="S150" s="30">
        <f>IF(L150="N/A","N/A",IF(R150="","Belum dinilai",IF(R150=1,"Memenuhi",IF(R150=0,"Tidak Memenuhi","Memenuhi Sebagian"))))</f>
        <v/>
      </c>
      <c r="T150" s="31" t="inlineStr">
        <is>
          <t>1.6-1</t>
        </is>
      </c>
      <c r="U150" s="77" t="n"/>
    </row>
    <row r="151" ht="27" customHeight="1">
      <c r="A151" s="77" t="n"/>
      <c r="B151" s="77" t="n"/>
      <c r="C151" s="77" t="n"/>
      <c r="D151" s="77" t="n"/>
      <c r="E151" s="32" t="inlineStr">
        <is>
          <t>B</t>
        </is>
      </c>
      <c r="F151" s="77" t="n"/>
      <c r="G151" s="77" t="n"/>
      <c r="H151" s="77" t="n"/>
      <c r="I151" s="28" t="n">
        <v>3</v>
      </c>
      <c r="J151" s="62" t="inlineStr">
        <is>
          <t>Hasil Evaluasi/Penilaian Kinerja Pegawai</t>
        </is>
      </c>
      <c r="K151" s="78" t="inlineStr"/>
      <c r="L151" s="29" t="n"/>
      <c r="M151" s="10" t="n"/>
      <c r="N151" s="29" t="n"/>
      <c r="O151" s="29" t="n"/>
      <c r="P151" s="29" t="n"/>
      <c r="Q151" s="10" t="n"/>
      <c r="R151" s="30">
        <f>IF(OR(L151="",L151="N/A"),"",IF(L151="Tidak Ada",0,IF(P151="","",IF(P151="Tidak Sesuai",0,IF(AND(N151="Ya",O151="Ya",P151="Sesuai"),1,0.5)))))</f>
        <v/>
      </c>
      <c r="S151" s="30">
        <f>IF(L151="N/A","N/A",IF(R151="","Belum dinilai",IF(R151=1,"Memenuhi",IF(R151=0,"Tidak Memenuhi","Memenuhi Sebagian"))))</f>
        <v/>
      </c>
      <c r="T151" s="31" t="inlineStr">
        <is>
          <t>1.6-1</t>
        </is>
      </c>
      <c r="U151" s="77" t="n"/>
    </row>
    <row r="152" ht="27" customHeight="1">
      <c r="A152" s="77" t="n"/>
      <c r="B152" s="77" t="n"/>
      <c r="C152" s="77" t="n"/>
      <c r="D152" s="77" t="n"/>
      <c r="E152" s="32" t="inlineStr">
        <is>
          <t>B</t>
        </is>
      </c>
      <c r="F152" s="77" t="n"/>
      <c r="G152" s="77" t="n"/>
      <c r="H152" s="77" t="n"/>
      <c r="I152" s="28" t="n">
        <v>4</v>
      </c>
      <c r="J152" s="62" t="inlineStr">
        <is>
          <t>Matriks Tindak Lanjut Hasil Evaluasi Pengelolaan SDM</t>
        </is>
      </c>
      <c r="K152" s="78" t="inlineStr"/>
      <c r="L152" s="29" t="n"/>
      <c r="M152" s="10" t="n"/>
      <c r="N152" s="29" t="n"/>
      <c r="O152" s="29" t="n"/>
      <c r="P152" s="29" t="n"/>
      <c r="Q152" s="10" t="n"/>
      <c r="R152" s="30">
        <f>IF(OR(L152="",L152="N/A"),"",IF(L152="Tidak Ada",0,IF(P152="","",IF(P152="Tidak Sesuai",0,IF(AND(N152="Ya",O152="Ya",P152="Sesuai"),1,0.5)))))</f>
        <v/>
      </c>
      <c r="S152" s="30">
        <f>IF(L152="N/A","N/A",IF(R152="","Belum dinilai",IF(R152=1,"Memenuhi",IF(R152=0,"Tidak Memenuhi","Memenuhi Sebagian"))))</f>
        <v/>
      </c>
      <c r="T152" s="31" t="inlineStr">
        <is>
          <t>1.6-1</t>
        </is>
      </c>
      <c r="U152" s="77" t="n"/>
    </row>
    <row r="153" ht="27" customHeight="1">
      <c r="A153" s="77" t="n"/>
      <c r="B153" s="77" t="n"/>
      <c r="C153" s="77" t="n"/>
      <c r="D153" s="77" t="n"/>
      <c r="E153" s="32" t="inlineStr">
        <is>
          <t>B</t>
        </is>
      </c>
      <c r="F153" s="79" t="n"/>
      <c r="G153" s="79" t="n"/>
      <c r="H153" s="79" t="n"/>
      <c r="I153" s="28" t="n">
        <v>5</v>
      </c>
      <c r="J153" s="62" t="inlineStr">
        <is>
          <t>Dokumen Perbaikan Kebijakan/SOP Kepegawaian</t>
        </is>
      </c>
      <c r="K153" s="78" t="inlineStr"/>
      <c r="L153" s="29" t="n"/>
      <c r="M153" s="10" t="n"/>
      <c r="N153" s="29" t="n"/>
      <c r="O153" s="29" t="n"/>
      <c r="P153" s="29" t="n"/>
      <c r="Q153" s="10" t="n"/>
      <c r="R153" s="30">
        <f>IF(OR(L153="",L153="N/A"),"",IF(L153="Tidak Ada",0,IF(P153="","",IF(P153="Tidak Sesuai",0,IF(AND(N153="Ya",O153="Ya",P153="Sesuai"),1,0.5)))))</f>
        <v/>
      </c>
      <c r="S153" s="30">
        <f>IF(L153="N/A","N/A",IF(R153="","Belum dinilai",IF(R153=1,"Memenuhi",IF(R153=0,"Tidak Memenuhi","Memenuhi Sebagian"))))</f>
        <v/>
      </c>
      <c r="T153" s="31" t="inlineStr">
        <is>
          <t>1.6-1</t>
        </is>
      </c>
      <c r="U153" s="79" t="n"/>
    </row>
    <row r="154" ht="27" customHeight="1">
      <c r="A154" s="77" t="n"/>
      <c r="B154" s="77" t="n"/>
      <c r="C154" s="77" t="n"/>
      <c r="D154" s="77" t="n"/>
      <c r="E154" s="33" t="inlineStr">
        <is>
          <t>C</t>
        </is>
      </c>
      <c r="F154" s="62" t="inlineStr">
        <is>
          <t>C – Implementasi</t>
        </is>
      </c>
      <c r="G154" s="62" t="inlineStr">
        <is>
          <t>Pengelolaan SDM telah dilaksanakan sejak rekrutmen sampai dengan pemberhentian pegawai sesuai kebijakan/prosedur yang ditetapkan</t>
        </is>
      </c>
      <c r="H154" s="62" t="inlineStr">
        <is>
          <t>Pengelolaan SDM telah dilaksanakan sejak rekrutmen sampai dengan pemberhentian pegawai sesuai kebijakan/prosedur yang ditetapkan</t>
        </is>
      </c>
      <c r="I154" s="28" t="n">
        <v>1</v>
      </c>
      <c r="J154" s="62" t="inlineStr">
        <is>
          <t>Dokumen Perencanaan Kebutuhan Pegawai</t>
        </is>
      </c>
      <c r="K154" s="78" t="inlineStr"/>
      <c r="L154" s="29" t="n"/>
      <c r="M154" s="10" t="n"/>
      <c r="N154" s="29" t="n"/>
      <c r="O154" s="29" t="n"/>
      <c r="P154" s="29" t="n"/>
      <c r="Q154" s="10" t="n"/>
      <c r="R154" s="30">
        <f>IF(OR(L154="",L154="N/A"),"",IF(L154="Tidak Ada",0,IF(P154="","",IF(P154="Tidak Sesuai",0,IF(AND(N154="Ya",O154="Ya",P154="Sesuai"),1,0.5)))))</f>
        <v/>
      </c>
      <c r="S154" s="30">
        <f>IF(L154="N/A","N/A",IF(R154="","Belum dinilai",IF(R154=1,"Memenuhi",IF(R154=0,"Tidak Memenuhi","Memenuhi Sebagian"))))</f>
        <v/>
      </c>
      <c r="T154" s="31" t="inlineStr">
        <is>
          <t>1.6-1</t>
        </is>
      </c>
      <c r="U154" s="63">
        <f>IF(COUNT(R154:R160)=0,"",SUM(R154:R160)/COUNT(R154:R160))</f>
        <v/>
      </c>
    </row>
    <row r="155" ht="15" customHeight="1">
      <c r="A155" s="77" t="n"/>
      <c r="B155" s="77" t="n"/>
      <c r="C155" s="77" t="n"/>
      <c r="D155" s="77" t="n"/>
      <c r="E155" s="33" t="inlineStr">
        <is>
          <t>C</t>
        </is>
      </c>
      <c r="F155" s="77" t="n"/>
      <c r="G155" s="77" t="n"/>
      <c r="H155" s="77" t="n"/>
      <c r="I155" s="28" t="n">
        <v>2</v>
      </c>
      <c r="J155" s="62" t="inlineStr">
        <is>
          <t>Data/Database Kepegawaian</t>
        </is>
      </c>
      <c r="K155" s="78" t="inlineStr"/>
      <c r="L155" s="29" t="n"/>
      <c r="M155" s="10" t="n"/>
      <c r="N155" s="29" t="n"/>
      <c r="O155" s="29" t="n"/>
      <c r="P155" s="29" t="n"/>
      <c r="Q155" s="10" t="n"/>
      <c r="R155" s="30">
        <f>IF(OR(L155="",L155="N/A"),"",IF(L155="Tidak Ada",0,IF(P155="","",IF(P155="Tidak Sesuai",0,IF(AND(N155="Ya",O155="Ya",P155="Sesuai"),1,0.5)))))</f>
        <v/>
      </c>
      <c r="S155" s="30">
        <f>IF(L155="N/A","N/A",IF(R155="","Belum dinilai",IF(R155=1,"Memenuhi",IF(R155=0,"Tidak Memenuhi","Memenuhi Sebagian"))))</f>
        <v/>
      </c>
      <c r="T155" s="31" t="inlineStr">
        <is>
          <t>1.6-1</t>
        </is>
      </c>
      <c r="U155" s="77" t="n"/>
    </row>
    <row r="156" ht="27" customHeight="1">
      <c r="A156" s="77" t="n"/>
      <c r="B156" s="77" t="n"/>
      <c r="C156" s="77" t="n"/>
      <c r="D156" s="77" t="n"/>
      <c r="E156" s="33" t="inlineStr">
        <is>
          <t>C</t>
        </is>
      </c>
      <c r="F156" s="77" t="n"/>
      <c r="G156" s="77" t="n"/>
      <c r="H156" s="77" t="n"/>
      <c r="I156" s="28" t="n">
        <v>3</v>
      </c>
      <c r="J156" s="62" t="inlineStr">
        <is>
          <t>SK Pengangkatan/Penempatan Pegawai</t>
        </is>
      </c>
      <c r="K156" s="78" t="inlineStr"/>
      <c r="L156" s="29" t="n"/>
      <c r="M156" s="10" t="n"/>
      <c r="N156" s="29" t="n"/>
      <c r="O156" s="29" t="n"/>
      <c r="P156" s="29" t="n"/>
      <c r="Q156" s="10" t="n"/>
      <c r="R156" s="30">
        <f>IF(OR(L156="",L156="N/A"),"",IF(L156="Tidak Ada",0,IF(P156="","",IF(P156="Tidak Sesuai",0,IF(AND(N156="Ya",O156="Ya",P156="Sesuai"),1,0.5)))))</f>
        <v/>
      </c>
      <c r="S156" s="30">
        <f>IF(L156="N/A","N/A",IF(R156="","Belum dinilai",IF(R156=1,"Memenuhi",IF(R156=0,"Tidak Memenuhi","Memenuhi Sebagian"))))</f>
        <v/>
      </c>
      <c r="T156" s="31" t="inlineStr">
        <is>
          <t>1.6-1</t>
        </is>
      </c>
      <c r="U156" s="77" t="n"/>
    </row>
    <row r="157" ht="15" customHeight="1">
      <c r="A157" s="77" t="n"/>
      <c r="B157" s="77" t="n"/>
      <c r="C157" s="77" t="n"/>
      <c r="D157" s="77" t="n"/>
      <c r="E157" s="33" t="inlineStr">
        <is>
          <t>C</t>
        </is>
      </c>
      <c r="F157" s="77" t="n"/>
      <c r="G157" s="77" t="n"/>
      <c r="H157" s="77" t="n"/>
      <c r="I157" s="28" t="n">
        <v>4</v>
      </c>
      <c r="J157" s="62" t="inlineStr">
        <is>
          <t>Dokumen Penilaian Kinerja/SKP</t>
        </is>
      </c>
      <c r="K157" s="78" t="inlineStr"/>
      <c r="L157" s="29" t="inlineStr">
        <is>
          <t>Ada</t>
        </is>
      </c>
      <c r="M157" s="66" t="inlineStr">
        <is>
          <t xml:space="preserve">SKP Auditor dan Irban I </t>
        </is>
      </c>
      <c r="N157" s="29" t="inlineStr">
        <is>
          <t>Ya</t>
        </is>
      </c>
      <c r="O157" s="29" t="inlineStr">
        <is>
          <t>Ya</t>
        </is>
      </c>
      <c r="P157" s="29" t="inlineStr">
        <is>
          <t>Sesuai</t>
        </is>
      </c>
      <c r="Q157" s="66" t="inlineStr">
        <is>
          <t>SKP diunggah sampling</t>
        </is>
      </c>
      <c r="R157" s="30">
        <f>IF(OR(L157="",L157="N/A"),"",IF(L157="Tidak Ada",0,IF(P157="","",IF(P157="Tidak Sesuai",0,IF(AND(N157="Ya",O157="Ya",P157="Sesuai"),1,0.5)))))</f>
        <v/>
      </c>
      <c r="S157" s="30">
        <f>IF(L157="N/A","N/A",IF(R157="","Belum dinilai",IF(R157=1,"Memenuhi",IF(R157=0,"Tidak Memenuhi","Memenuhi Sebagian"))))</f>
        <v/>
      </c>
      <c r="T157" s="31" t="inlineStr">
        <is>
          <t>1.6-1</t>
        </is>
      </c>
      <c r="U157" s="77" t="n"/>
    </row>
    <row r="158" ht="27" customHeight="1">
      <c r="A158" s="77" t="n"/>
      <c r="B158" s="77" t="n"/>
      <c r="C158" s="77" t="n"/>
      <c r="D158" s="77" t="n"/>
      <c r="E158" s="33" t="inlineStr">
        <is>
          <t>C</t>
        </is>
      </c>
      <c r="F158" s="77" t="n"/>
      <c r="G158" s="77" t="n"/>
      <c r="H158" s="77" t="n"/>
      <c r="I158" s="28" t="n">
        <v>5</v>
      </c>
      <c r="J158" s="62" t="inlineStr">
        <is>
          <t>Dokumen Pengembangan Kompetensi Pegawai</t>
        </is>
      </c>
      <c r="K158" s="78" t="inlineStr"/>
      <c r="L158" s="29" t="n"/>
      <c r="M158" s="10" t="n"/>
      <c r="N158" s="29" t="n"/>
      <c r="O158" s="29" t="n"/>
      <c r="P158" s="29" t="n"/>
      <c r="Q158" s="10" t="n"/>
      <c r="R158" s="30">
        <f>IF(OR(L158="",L158="N/A"),"",IF(L158="Tidak Ada",0,IF(P158="","",IF(P158="Tidak Sesuai",0,IF(AND(N158="Ya",O158="Ya",P158="Sesuai"),1,0.5)))))</f>
        <v/>
      </c>
      <c r="S158" s="30">
        <f>IF(L158="N/A","N/A",IF(R158="","Belum dinilai",IF(R158=1,"Memenuhi",IF(R158=0,"Tidak Memenuhi","Memenuhi Sebagian"))))</f>
        <v/>
      </c>
      <c r="T158" s="31" t="inlineStr">
        <is>
          <t>1.6-1</t>
        </is>
      </c>
      <c r="U158" s="77" t="n"/>
    </row>
    <row r="159" ht="27" customHeight="1">
      <c r="A159" s="77" t="n"/>
      <c r="B159" s="77" t="n"/>
      <c r="C159" s="77" t="n"/>
      <c r="D159" s="77" t="n"/>
      <c r="E159" s="33" t="inlineStr">
        <is>
          <t>C</t>
        </is>
      </c>
      <c r="F159" s="77" t="n"/>
      <c r="G159" s="77" t="n"/>
      <c r="H159" s="77" t="n"/>
      <c r="I159" s="28" t="n">
        <v>6</v>
      </c>
      <c r="J159" s="62" t="inlineStr">
        <is>
          <t>SK Mutasi/Pengangkatan dalam Jabatan, jika ada</t>
        </is>
      </c>
      <c r="K159" s="78" t="inlineStr"/>
      <c r="L159" s="29" t="n"/>
      <c r="M159" s="10" t="n"/>
      <c r="N159" s="29" t="n"/>
      <c r="O159" s="29" t="n"/>
      <c r="P159" s="29" t="n"/>
      <c r="Q159" s="10" t="n"/>
      <c r="R159" s="30">
        <f>IF(OR(L159="",L159="N/A"),"",IF(L159="Tidak Ada",0,IF(P159="","",IF(P159="Tidak Sesuai",0,IF(AND(N159="Ya",O159="Ya",P159="Sesuai"),1,0.5)))))</f>
        <v/>
      </c>
      <c r="S159" s="30">
        <f>IF(L159="N/A","N/A",IF(R159="","Belum dinilai",IF(R159=1,"Memenuhi",IF(R159=0,"Tidak Memenuhi","Memenuhi Sebagian"))))</f>
        <v/>
      </c>
      <c r="T159" s="31" t="inlineStr">
        <is>
          <t>1.6-1</t>
        </is>
      </c>
      <c r="U159" s="77" t="n"/>
    </row>
    <row r="160" ht="27" customHeight="1">
      <c r="A160" s="77" t="n"/>
      <c r="B160" s="77" t="n"/>
      <c r="C160" s="77" t="n"/>
      <c r="D160" s="77" t="n"/>
      <c r="E160" s="33" t="inlineStr">
        <is>
          <t>C</t>
        </is>
      </c>
      <c r="F160" s="79" t="n"/>
      <c r="G160" s="79" t="n"/>
      <c r="H160" s="79" t="n"/>
      <c r="I160" s="28" t="n">
        <v>7</v>
      </c>
      <c r="J160" s="62" t="inlineStr">
        <is>
          <t>Dokumen Pemberhentian/Pensiun, jika ada</t>
        </is>
      </c>
      <c r="K160" s="78" t="inlineStr"/>
      <c r="L160" s="29" t="n"/>
      <c r="M160" s="10" t="n"/>
      <c r="N160" s="29" t="n"/>
      <c r="O160" s="29" t="n"/>
      <c r="P160" s="29" t="n"/>
      <c r="Q160" s="10" t="n"/>
      <c r="R160" s="30">
        <f>IF(OR(L160="",L160="N/A"),"",IF(L160="Tidak Ada",0,IF(P160="","",IF(P160="Tidak Sesuai",0,IF(AND(N160="Ya",O160="Ya",P160="Sesuai"),1,0.5)))))</f>
        <v/>
      </c>
      <c r="S160" s="30">
        <f>IF(L160="N/A","N/A",IF(R160="","Belum dinilai",IF(R160=1,"Memenuhi",IF(R160=0,"Tidak Memenuhi","Memenuhi Sebagian"))))</f>
        <v/>
      </c>
      <c r="T160" s="31" t="inlineStr">
        <is>
          <t>1.6-1</t>
        </is>
      </c>
      <c r="U160" s="79" t="n"/>
    </row>
    <row r="161" ht="27" customHeight="1">
      <c r="A161" s="77" t="n"/>
      <c r="B161" s="77" t="n"/>
      <c r="C161" s="77" t="n"/>
      <c r="D161" s="77" t="n"/>
      <c r="E161" s="34" t="inlineStr">
        <is>
          <t>D</t>
        </is>
      </c>
      <c r="F161" s="62" t="inlineStr">
        <is>
          <t>D – Komunikasi &amp; Pemahaman</t>
        </is>
      </c>
      <c r="G161" s="62" t="inlineStr">
        <is>
          <t>Kebijakan terkait pengelolaan SDM telah dikomunikasikan dan dipahami oleh pihak yang berkepentingan dalam organisasi</t>
        </is>
      </c>
      <c r="H161" s="62" t="inlineStr">
        <is>
          <t>Kebijakan terkait pengelolaan SDM telah dikomunikasikan dan dipahami oleh pihak yang berkepentingan dalam organisasi</t>
        </is>
      </c>
      <c r="I161" s="28" t="n">
        <v>1</v>
      </c>
      <c r="J161" s="62" t="inlineStr">
        <is>
          <t>Surat/Nota Dinas Penyampaian Kebijakan/SOP Kepegawaian</t>
        </is>
      </c>
      <c r="K161" s="78" t="inlineStr"/>
      <c r="L161" s="29" t="n"/>
      <c r="M161" s="10" t="n"/>
      <c r="N161" s="29" t="n"/>
      <c r="O161" s="29" t="n"/>
      <c r="P161" s="29" t="n"/>
      <c r="Q161" s="10" t="n"/>
      <c r="R161" s="30">
        <f>IF(OR(L161="",L161="N/A"),"",IF(L161="Tidak Ada",0,IF(P161="","",IF(P161="Tidak Sesuai",0,IF(AND(N161="Ya",O161="Ya",P161="Sesuai"),1,0.5)))))</f>
        <v/>
      </c>
      <c r="S161" s="30">
        <f>IF(L161="N/A","N/A",IF(R161="","Belum dinilai",IF(R161=1,"Memenuhi",IF(R161=0,"Tidak Memenuhi","Memenuhi Sebagian"))))</f>
        <v/>
      </c>
      <c r="T161" s="31" t="inlineStr">
        <is>
          <t>1.6-1</t>
        </is>
      </c>
      <c r="U161" s="63">
        <f>IF(COUNT(R161:R165)=0,"",SUM(R161:R165)/COUNT(R161:R165))</f>
        <v/>
      </c>
    </row>
    <row r="162" ht="27" customHeight="1">
      <c r="A162" s="77" t="n"/>
      <c r="B162" s="77" t="n"/>
      <c r="C162" s="77" t="n"/>
      <c r="D162" s="77" t="n"/>
      <c r="E162" s="34" t="inlineStr">
        <is>
          <t>D</t>
        </is>
      </c>
      <c r="F162" s="77" t="n"/>
      <c r="G162" s="77" t="n"/>
      <c r="H162" s="77" t="n"/>
      <c r="I162" s="28" t="n">
        <v>2</v>
      </c>
      <c r="J162" s="62" t="inlineStr">
        <is>
          <t>Undangan Sosialisasi Kebijakan Pengelolaan SDM</t>
        </is>
      </c>
      <c r="K162" s="78" t="inlineStr"/>
      <c r="L162" s="29" t="n"/>
      <c r="M162" s="10" t="n"/>
      <c r="N162" s="29" t="n"/>
      <c r="O162" s="29" t="n"/>
      <c r="P162" s="29" t="n"/>
      <c r="Q162" s="10" t="n"/>
      <c r="R162" s="30">
        <f>IF(OR(L162="",L162="N/A"),"",IF(L162="Tidak Ada",0,IF(P162="","",IF(P162="Tidak Sesuai",0,IF(AND(N162="Ya",O162="Ya",P162="Sesuai"),1,0.5)))))</f>
        <v/>
      </c>
      <c r="S162" s="30">
        <f>IF(L162="N/A","N/A",IF(R162="","Belum dinilai",IF(R162=1,"Memenuhi",IF(R162=0,"Tidak Memenuhi","Memenuhi Sebagian"))))</f>
        <v/>
      </c>
      <c r="T162" s="31" t="inlineStr">
        <is>
          <t>1.6-1</t>
        </is>
      </c>
      <c r="U162" s="77" t="n"/>
    </row>
    <row r="163" ht="15" customHeight="1">
      <c r="A163" s="77" t="n"/>
      <c r="B163" s="77" t="n"/>
      <c r="C163" s="77" t="n"/>
      <c r="D163" s="77" t="n"/>
      <c r="E163" s="34" t="inlineStr">
        <is>
          <t>D</t>
        </is>
      </c>
      <c r="F163" s="77" t="n"/>
      <c r="G163" s="77" t="n"/>
      <c r="H163" s="77" t="n"/>
      <c r="I163" s="28" t="n">
        <v>3</v>
      </c>
      <c r="J163" s="62" t="inlineStr">
        <is>
          <t>Materi Sosialisasi</t>
        </is>
      </c>
      <c r="K163" s="78" t="inlineStr"/>
      <c r="L163" s="29" t="n"/>
      <c r="M163" s="10" t="n"/>
      <c r="N163" s="29" t="n"/>
      <c r="O163" s="29" t="n"/>
      <c r="P163" s="29" t="n"/>
      <c r="Q163" s="10" t="n"/>
      <c r="R163" s="30">
        <f>IF(OR(L163="",L163="N/A"),"",IF(L163="Tidak Ada",0,IF(P163="","",IF(P163="Tidak Sesuai",0,IF(AND(N163="Ya",O163="Ya",P163="Sesuai"),1,0.5)))))</f>
        <v/>
      </c>
      <c r="S163" s="30">
        <f>IF(L163="N/A","N/A",IF(R163="","Belum dinilai",IF(R163=1,"Memenuhi",IF(R163=0,"Tidak Memenuhi","Memenuhi Sebagian"))))</f>
        <v/>
      </c>
      <c r="T163" s="31" t="inlineStr">
        <is>
          <t>1.6-1</t>
        </is>
      </c>
      <c r="U163" s="77" t="n"/>
    </row>
    <row r="164" ht="15" customHeight="1">
      <c r="A164" s="77" t="n"/>
      <c r="B164" s="77" t="n"/>
      <c r="C164" s="77" t="n"/>
      <c r="D164" s="77" t="n"/>
      <c r="E164" s="34" t="inlineStr">
        <is>
          <t>D</t>
        </is>
      </c>
      <c r="F164" s="77" t="n"/>
      <c r="G164" s="77" t="n"/>
      <c r="H164" s="77" t="n"/>
      <c r="I164" s="28" t="n">
        <v>4</v>
      </c>
      <c r="J164" s="62" t="inlineStr">
        <is>
          <t>Daftar Hadir Sosialisasi</t>
        </is>
      </c>
      <c r="K164" s="78" t="inlineStr"/>
      <c r="L164" s="29" t="n"/>
      <c r="M164" s="10" t="n"/>
      <c r="N164" s="29" t="n"/>
      <c r="O164" s="29" t="n"/>
      <c r="P164" s="29" t="n"/>
      <c r="Q164" s="10" t="n"/>
      <c r="R164" s="30">
        <f>IF(OR(L164="",L164="N/A"),"",IF(L164="Tidak Ada",0,IF(P164="","",IF(P164="Tidak Sesuai",0,IF(AND(N164="Ya",O164="Ya",P164="Sesuai"),1,0.5)))))</f>
        <v/>
      </c>
      <c r="S164" s="30">
        <f>IF(L164="N/A","N/A",IF(R164="","Belum dinilai",IF(R164=1,"Memenuhi",IF(R164=0,"Tidak Memenuhi","Memenuhi Sebagian"))))</f>
        <v/>
      </c>
      <c r="T164" s="31" t="inlineStr">
        <is>
          <t>1.6-1</t>
        </is>
      </c>
      <c r="U164" s="77" t="n"/>
    </row>
    <row r="165" ht="15" customHeight="1">
      <c r="A165" s="77" t="n"/>
      <c r="B165" s="77" t="n"/>
      <c r="C165" s="77" t="n"/>
      <c r="D165" s="77" t="n"/>
      <c r="E165" s="34" t="inlineStr">
        <is>
          <t>D</t>
        </is>
      </c>
      <c r="F165" s="79" t="n"/>
      <c r="G165" s="79" t="n"/>
      <c r="H165" s="79" t="n"/>
      <c r="I165" s="28" t="n">
        <v>5</v>
      </c>
      <c r="J165" s="62" t="inlineStr">
        <is>
          <t>Notulen/Berita Acara Sosialisasi</t>
        </is>
      </c>
      <c r="K165" s="78" t="inlineStr"/>
      <c r="L165" s="29" t="n"/>
      <c r="M165" s="10" t="n"/>
      <c r="N165" s="29" t="n"/>
      <c r="O165" s="29" t="n"/>
      <c r="P165" s="29" t="n"/>
      <c r="Q165" s="10" t="n"/>
      <c r="R165" s="30">
        <f>IF(OR(L165="",L165="N/A"),"",IF(L165="Tidak Ada",0,IF(P165="","",IF(P165="Tidak Sesuai",0,IF(AND(N165="Ya",O165="Ya",P165="Sesuai"),1,0.5)))))</f>
        <v/>
      </c>
      <c r="S165" s="30">
        <f>IF(L165="N/A","N/A",IF(R165="","Belum dinilai",IF(R165=1,"Memenuhi",IF(R165=0,"Tidak Memenuhi","Memenuhi Sebagian"))))</f>
        <v/>
      </c>
      <c r="T165" s="31" t="inlineStr">
        <is>
          <t>1.6-1</t>
        </is>
      </c>
      <c r="U165" s="79" t="n"/>
    </row>
    <row r="166" ht="27" customHeight="1">
      <c r="A166" s="77" t="n"/>
      <c r="B166" s="77" t="n"/>
      <c r="C166" s="77" t="n"/>
      <c r="D166" s="77" t="n"/>
      <c r="E166" s="35" t="inlineStr">
        <is>
          <t>E</t>
        </is>
      </c>
      <c r="F166" s="62" t="inlineStr">
        <is>
          <t>E – Kebijakan/Formalitas</t>
        </is>
      </c>
      <c r="G166" s="62" t="inlineStr">
        <is>
          <t>Terdapat kebijakan yang mengatur pengelolaan SDM sejak rekrutmen sampai dengan pemberhentian pegawai</t>
        </is>
      </c>
      <c r="H166" s="62" t="inlineStr">
        <is>
          <t>Terdapat kebijakan yang mengatur pengelolaan SDM sejak rekrutmen sampai dengan pemberhentian pegawai</t>
        </is>
      </c>
      <c r="I166" s="28" t="n">
        <v>1</v>
      </c>
      <c r="J166" s="62" t="inlineStr">
        <is>
          <t>Peraturan Bupati terkait Manajemen Talenta ASN</t>
        </is>
      </c>
      <c r="K166" s="78" t="inlineStr"/>
      <c r="L166" s="29" t="n"/>
      <c r="M166" s="10" t="n"/>
      <c r="N166" s="29" t="n"/>
      <c r="O166" s="29" t="n"/>
      <c r="P166" s="29" t="n"/>
      <c r="Q166" s="10" t="n"/>
      <c r="R166" s="30">
        <f>IF(OR(L166="",L166="N/A"),"",IF(L166="Tidak Ada",0,IF(P166="","",IF(P166="Tidak Sesuai",0,IF(AND(N166="Ya",O166="Ya",P166="Sesuai"),1,0.5)))))</f>
        <v/>
      </c>
      <c r="S166" s="30">
        <f>IF(L166="N/A","N/A",IF(R166="","Belum dinilai",IF(R166=1,"Memenuhi",IF(R166=0,"Tidak Memenuhi","Memenuhi Sebagian"))))</f>
        <v/>
      </c>
      <c r="T166" s="31" t="inlineStr">
        <is>
          <t>1.6-1</t>
        </is>
      </c>
      <c r="U166" s="63">
        <f>IF(COUNT(R166:R174)=0,"",SUM(R166:R174)/COUNT(R166:R174))</f>
        <v/>
      </c>
    </row>
    <row r="167" ht="15" customHeight="1">
      <c r="A167" s="77" t="n"/>
      <c r="B167" s="77" t="n"/>
      <c r="C167" s="77" t="n"/>
      <c r="D167" s="77" t="n"/>
      <c r="E167" s="35" t="inlineStr">
        <is>
          <t>E</t>
        </is>
      </c>
      <c r="F167" s="77" t="n"/>
      <c r="G167" s="77" t="n"/>
      <c r="H167" s="77" t="n"/>
      <c r="I167" s="28" t="n">
        <v>2</v>
      </c>
      <c r="J167" s="62" t="inlineStr">
        <is>
          <t>SOP Pengadaan/Penerimaan Pegawai</t>
        </is>
      </c>
      <c r="K167" s="78" t="inlineStr"/>
      <c r="L167" s="29" t="n"/>
      <c r="M167" s="10" t="n"/>
      <c r="N167" s="29" t="n"/>
      <c r="O167" s="29" t="n"/>
      <c r="P167" s="29" t="n"/>
      <c r="Q167" s="10" t="n"/>
      <c r="R167" s="30">
        <f>IF(OR(L167="",L167="N/A"),"",IF(L167="Tidak Ada",0,IF(P167="","",IF(P167="Tidak Sesuai",0,IF(AND(N167="Ya",O167="Ya",P167="Sesuai"),1,0.5)))))</f>
        <v/>
      </c>
      <c r="S167" s="30">
        <f>IF(L167="N/A","N/A",IF(R167="","Belum dinilai",IF(R167=1,"Memenuhi",IF(R167=0,"Tidak Memenuhi","Memenuhi Sebagian"))))</f>
        <v/>
      </c>
      <c r="T167" s="31" t="inlineStr">
        <is>
          <t>1.6-1</t>
        </is>
      </c>
      <c r="U167" s="77" t="n"/>
    </row>
    <row r="168" ht="15" customHeight="1">
      <c r="A168" s="77" t="n"/>
      <c r="B168" s="77" t="n"/>
      <c r="C168" s="77" t="n"/>
      <c r="D168" s="77" t="n"/>
      <c r="E168" s="35" t="inlineStr">
        <is>
          <t>E</t>
        </is>
      </c>
      <c r="F168" s="77" t="n"/>
      <c r="G168" s="77" t="n"/>
      <c r="H168" s="77" t="n"/>
      <c r="I168" s="28" t="n">
        <v>3</v>
      </c>
      <c r="J168" s="62" t="inlineStr">
        <is>
          <t>SOP Penilaian Kinerja Pegawai</t>
        </is>
      </c>
      <c r="K168" s="78" t="inlineStr"/>
      <c r="L168" s="29" t="n"/>
      <c r="M168" s="10" t="n"/>
      <c r="N168" s="29" t="n"/>
      <c r="O168" s="29" t="n"/>
      <c r="P168" s="29" t="n"/>
      <c r="Q168" s="10" t="n"/>
      <c r="R168" s="30">
        <f>IF(OR(L168="",L168="N/A"),"",IF(L168="Tidak Ada",0,IF(P168="","",IF(P168="Tidak Sesuai",0,IF(AND(N168="Ya",O168="Ya",P168="Sesuai"),1,0.5)))))</f>
        <v/>
      </c>
      <c r="S168" s="30">
        <f>IF(L168="N/A","N/A",IF(R168="","Belum dinilai",IF(R168=1,"Memenuhi",IF(R168=0,"Tidak Memenuhi","Memenuhi Sebagian"))))</f>
        <v/>
      </c>
      <c r="T168" s="31" t="inlineStr">
        <is>
          <t>1.6-1</t>
        </is>
      </c>
      <c r="U168" s="77" t="n"/>
    </row>
    <row r="169" ht="15" customHeight="1">
      <c r="A169" s="77" t="n"/>
      <c r="B169" s="77" t="n"/>
      <c r="C169" s="77" t="n"/>
      <c r="D169" s="77" t="n"/>
      <c r="E169" s="35" t="inlineStr">
        <is>
          <t>E</t>
        </is>
      </c>
      <c r="F169" s="77" t="n"/>
      <c r="G169" s="77" t="n"/>
      <c r="H169" s="77" t="n"/>
      <c r="I169" s="28" t="n">
        <v>4</v>
      </c>
      <c r="J169" s="62" t="inlineStr">
        <is>
          <t>SOP Kenaikan Pangkat/Jabatan</t>
        </is>
      </c>
      <c r="K169" s="78" t="inlineStr"/>
      <c r="L169" s="29" t="n"/>
      <c r="M169" s="10" t="n"/>
      <c r="N169" s="29" t="n"/>
      <c r="O169" s="29" t="n"/>
      <c r="P169" s="29" t="n"/>
      <c r="Q169" s="10" t="n"/>
      <c r="R169" s="30">
        <f>IF(OR(L169="",L169="N/A"),"",IF(L169="Tidak Ada",0,IF(P169="","",IF(P169="Tidak Sesuai",0,IF(AND(N169="Ya",O169="Ya",P169="Sesuai"),1,0.5)))))</f>
        <v/>
      </c>
      <c r="S169" s="30">
        <f>IF(L169="N/A","N/A",IF(R169="","Belum dinilai",IF(R169=1,"Memenuhi",IF(R169=0,"Tidak Memenuhi","Memenuhi Sebagian"))))</f>
        <v/>
      </c>
      <c r="T169" s="31" t="inlineStr">
        <is>
          <t>1.6-1</t>
        </is>
      </c>
      <c r="U169" s="77" t="n"/>
    </row>
    <row r="170" ht="15" customHeight="1">
      <c r="A170" s="77" t="n"/>
      <c r="B170" s="77" t="n"/>
      <c r="C170" s="77" t="n"/>
      <c r="D170" s="77" t="n"/>
      <c r="E170" s="35" t="inlineStr">
        <is>
          <t>E</t>
        </is>
      </c>
      <c r="F170" s="77" t="n"/>
      <c r="G170" s="77" t="n"/>
      <c r="H170" s="77" t="n"/>
      <c r="I170" s="28" t="n">
        <v>5</v>
      </c>
      <c r="J170" s="62" t="inlineStr">
        <is>
          <t>SOP Pengembangan Kompetensi</t>
        </is>
      </c>
      <c r="K170" s="78" t="inlineStr"/>
      <c r="L170" s="29" t="n"/>
      <c r="M170" s="10" t="n"/>
      <c r="N170" s="29" t="n"/>
      <c r="O170" s="29" t="n"/>
      <c r="P170" s="29" t="n"/>
      <c r="Q170" s="10" t="n"/>
      <c r="R170" s="30">
        <f>IF(OR(L170="",L170="N/A"),"",IF(L170="Tidak Ada",0,IF(P170="","",IF(P170="Tidak Sesuai",0,IF(AND(N170="Ya",O170="Ya",P170="Sesuai"),1,0.5)))))</f>
        <v/>
      </c>
      <c r="S170" s="30">
        <f>IF(L170="N/A","N/A",IF(R170="","Belum dinilai",IF(R170=1,"Memenuhi",IF(R170=0,"Tidak Memenuhi","Memenuhi Sebagian"))))</f>
        <v/>
      </c>
      <c r="T170" s="31" t="inlineStr">
        <is>
          <t>1.6-1</t>
        </is>
      </c>
      <c r="U170" s="77" t="n"/>
    </row>
    <row r="171" ht="15" customHeight="1">
      <c r="A171" s="77" t="n"/>
      <c r="B171" s="77" t="n"/>
      <c r="C171" s="77" t="n"/>
      <c r="D171" s="77" t="n"/>
      <c r="E171" s="35" t="inlineStr">
        <is>
          <t>E</t>
        </is>
      </c>
      <c r="F171" s="77" t="n"/>
      <c r="G171" s="77" t="n"/>
      <c r="H171" s="77" t="n"/>
      <c r="I171" s="28" t="n">
        <v>6</v>
      </c>
      <c r="J171" s="62" t="inlineStr">
        <is>
          <t>SOP Mutasi</t>
        </is>
      </c>
      <c r="K171" s="78" t="inlineStr"/>
      <c r="L171" s="29" t="n"/>
      <c r="M171" s="10" t="n"/>
      <c r="N171" s="29" t="n"/>
      <c r="O171" s="29" t="n"/>
      <c r="P171" s="29" t="n"/>
      <c r="Q171" s="10" t="n"/>
      <c r="R171" s="30">
        <f>IF(OR(L171="",L171="N/A"),"",IF(L171="Tidak Ada",0,IF(P171="","",IF(P171="Tidak Sesuai",0,IF(AND(N171="Ya",O171="Ya",P171="Sesuai"),1,0.5)))))</f>
        <v/>
      </c>
      <c r="S171" s="30">
        <f>IF(L171="N/A","N/A",IF(R171="","Belum dinilai",IF(R171=1,"Memenuhi",IF(R171=0,"Tidak Memenuhi","Memenuhi Sebagian"))))</f>
        <v/>
      </c>
      <c r="T171" s="31" t="inlineStr">
        <is>
          <t>1.6-1</t>
        </is>
      </c>
      <c r="U171" s="77" t="n"/>
    </row>
    <row r="172" ht="15" customHeight="1">
      <c r="A172" s="77" t="n"/>
      <c r="B172" s="77" t="n"/>
      <c r="C172" s="77" t="n"/>
      <c r="D172" s="77" t="n"/>
      <c r="E172" s="35" t="inlineStr">
        <is>
          <t>E</t>
        </is>
      </c>
      <c r="F172" s="77" t="n"/>
      <c r="G172" s="77" t="n"/>
      <c r="H172" s="77" t="n"/>
      <c r="I172" s="28" t="n">
        <v>7</v>
      </c>
      <c r="J172" s="62" t="inlineStr">
        <is>
          <t>SOP Pemberhentian Pegawai</t>
        </is>
      </c>
      <c r="K172" s="78" t="inlineStr"/>
      <c r="L172" s="29" t="n"/>
      <c r="M172" s="10" t="n"/>
      <c r="N172" s="29" t="n"/>
      <c r="O172" s="29" t="n"/>
      <c r="P172" s="29" t="n"/>
      <c r="Q172" s="10" t="n"/>
      <c r="R172" s="30">
        <f>IF(OR(L172="",L172="N/A"),"",IF(L172="Tidak Ada",0,IF(P172="","",IF(P172="Tidak Sesuai",0,IF(AND(N172="Ya",O172="Ya",P172="Sesuai"),1,0.5)))))</f>
        <v/>
      </c>
      <c r="S172" s="30">
        <f>IF(L172="N/A","N/A",IF(R172="","Belum dinilai",IF(R172=1,"Memenuhi",IF(R172=0,"Tidak Memenuhi","Memenuhi Sebagian"))))</f>
        <v/>
      </c>
      <c r="T172" s="31" t="inlineStr">
        <is>
          <t>1.6-1</t>
        </is>
      </c>
      <c r="U172" s="77" t="n"/>
    </row>
    <row r="173" ht="15" customHeight="1">
      <c r="A173" s="77" t="n"/>
      <c r="B173" s="77" t="n"/>
      <c r="C173" s="77" t="n"/>
      <c r="D173" s="77" t="n"/>
      <c r="E173" s="35" t="inlineStr">
        <is>
          <t>E</t>
        </is>
      </c>
      <c r="F173" s="77" t="n"/>
      <c r="G173" s="77" t="n"/>
      <c r="H173" s="77" t="n"/>
      <c r="I173" s="28" t="n">
        <v>8</v>
      </c>
      <c r="J173" s="62" t="inlineStr">
        <is>
          <t>SOP Pensiun</t>
        </is>
      </c>
      <c r="K173" s="78" t="inlineStr"/>
      <c r="L173" s="29" t="n"/>
      <c r="M173" s="10" t="n"/>
      <c r="N173" s="29" t="n"/>
      <c r="O173" s="29" t="n"/>
      <c r="P173" s="29" t="n"/>
      <c r="Q173" s="10" t="n"/>
      <c r="R173" s="30">
        <f>IF(OR(L173="",L173="N/A"),"",IF(L173="Tidak Ada",0,IF(P173="","",IF(P173="Tidak Sesuai",0,IF(AND(N173="Ya",O173="Ya",P173="Sesuai"),1,0.5)))))</f>
        <v/>
      </c>
      <c r="S173" s="30">
        <f>IF(L173="N/A","N/A",IF(R173="","Belum dinilai",IF(R173=1,"Memenuhi",IF(R173=0,"Tidak Memenuhi","Memenuhi Sebagian"))))</f>
        <v/>
      </c>
      <c r="T173" s="31" t="inlineStr">
        <is>
          <t>1.6-1</t>
        </is>
      </c>
      <c r="U173" s="77" t="n"/>
    </row>
    <row r="174" ht="15" customHeight="1">
      <c r="A174" s="79" t="n"/>
      <c r="B174" s="79" t="n"/>
      <c r="C174" s="79" t="n"/>
      <c r="D174" s="79" t="n"/>
      <c r="E174" s="35" t="inlineStr">
        <is>
          <t>E</t>
        </is>
      </c>
      <c r="F174" s="79" t="n"/>
      <c r="G174" s="79" t="n"/>
      <c r="H174" s="79" t="n"/>
      <c r="I174" s="28" t="n">
        <v>9</v>
      </c>
      <c r="J174" s="62" t="inlineStr">
        <is>
          <t>SOP Supervisi/Pembinaan Pegawai</t>
        </is>
      </c>
      <c r="K174" s="78" t="inlineStr"/>
      <c r="L174" s="29" t="n"/>
      <c r="M174" s="10" t="n"/>
      <c r="N174" s="29" t="n"/>
      <c r="O174" s="29" t="n"/>
      <c r="P174" s="29" t="n"/>
      <c r="Q174" s="10" t="n"/>
      <c r="R174" s="30">
        <f>IF(OR(L174="",L174="N/A"),"",IF(L174="Tidak Ada",0,IF(P174="","",IF(P174="Tidak Sesuai",0,IF(AND(N174="Ya",O174="Ya",P174="Sesuai"),1,0.5)))))</f>
        <v/>
      </c>
      <c r="S174" s="30">
        <f>IF(L174="N/A","N/A",IF(R174="","Belum dinilai",IF(R174=1,"Memenuhi",IF(R174=0,"Tidak Memenuhi","Memenuhi Sebagian"))))</f>
        <v/>
      </c>
      <c r="T174" s="31" t="inlineStr">
        <is>
          <t>1.6-1</t>
        </is>
      </c>
      <c r="U174" s="79" t="n"/>
    </row>
    <row r="175" ht="27" customHeight="1">
      <c r="A175" s="56" t="inlineStr">
        <is>
          <t>1.6</t>
        </is>
      </c>
      <c r="B175" s="57" t="inlineStr">
        <is>
          <t>Penyusunan dan Penerapan Kebijakan yang Sehat tentang Pembinaan SDM</t>
        </is>
      </c>
      <c r="C175" s="58" t="n">
        <v>2</v>
      </c>
      <c r="D175" s="59" t="inlineStr">
        <is>
          <t>Pegawai telah mendapatkan fasilitas untuk meningkatkan kompetensi dan keterampilan terkait manajemen risiko</t>
        </is>
      </c>
      <c r="E175" s="21" t="inlineStr">
        <is>
          <t>A</t>
        </is>
      </c>
      <c r="F175" s="60" t="inlineStr">
        <is>
          <t>A – Perbaikan Berkelanjutan</t>
        </is>
      </c>
      <c r="G175" s="60" t="inlineStr">
        <is>
          <t>Terdapat upaya peningkatan kompetensi dan keterampilan terkait manajemen risiko yang memadai dengan cakupan seluruh pegawai dan telah dievaluasi pencapaiannya</t>
        </is>
      </c>
      <c r="H175" s="60" t="inlineStr">
        <is>
          <t>Terdapat upaya peningkatan kompetensi dan keterampilan terkait manajemen risiko yang memadai dengan cakupan seluruh pegawai dan telah dievaluasi pencapaiannya</t>
        </is>
      </c>
      <c r="I175" s="22" t="n">
        <v>1</v>
      </c>
      <c r="J175" s="60" t="inlineStr">
        <is>
          <t>Laporan Evaluasi Pelaksanaan Pelatihan Manajemen Risiko</t>
        </is>
      </c>
      <c r="K175" s="76" t="inlineStr"/>
      <c r="L175" s="23" t="n"/>
      <c r="M175" s="24" t="n"/>
      <c r="N175" s="23" t="n"/>
      <c r="O175" s="23" t="n"/>
      <c r="P175" s="23" t="n"/>
      <c r="Q175" s="24" t="n"/>
      <c r="R175" s="25">
        <f>IF(OR(L175="",L175="N/A"),"",IF(L175="Tidak Ada",0,IF(P175="","",IF(P175="Tidak Sesuai",0,IF(AND(N175="Ya",O175="Ya",P175="Sesuai"),1,0.5)))))</f>
        <v/>
      </c>
      <c r="S175" s="25">
        <f>IF(L175="N/A","N/A",IF(R175="","Belum dinilai",IF(R175=1,"Memenuhi",IF(R175=0,"Tidak Memenuhi","Memenuhi Sebagian"))))</f>
        <v/>
      </c>
      <c r="T175" s="26" t="inlineStr">
        <is>
          <t>1.6-2</t>
        </is>
      </c>
      <c r="U175" s="61">
        <f>IF(COUNT(R175:R179)=0,"",SUM(R175:R179)/COUNT(R175:R179))</f>
        <v/>
      </c>
    </row>
    <row r="176" ht="27" customHeight="1">
      <c r="A176" s="77" t="n"/>
      <c r="B176" s="77" t="n"/>
      <c r="C176" s="77" t="n"/>
      <c r="D176" s="77" t="n"/>
      <c r="E176" s="27" t="inlineStr">
        <is>
          <t>A</t>
        </is>
      </c>
      <c r="F176" s="77" t="n"/>
      <c r="G176" s="77" t="n"/>
      <c r="H176" s="77" t="n"/>
      <c r="I176" s="28" t="n">
        <v>2</v>
      </c>
      <c r="J176" s="62" t="inlineStr">
        <is>
          <t>Rekapitulasi Pegawai Bersertifikat/Kompeten Manajemen Risiko</t>
        </is>
      </c>
      <c r="K176" s="78" t="inlineStr"/>
      <c r="L176" s="29" t="n"/>
      <c r="M176" s="10" t="n"/>
      <c r="N176" s="29" t="n"/>
      <c r="O176" s="29" t="n"/>
      <c r="P176" s="29" t="n"/>
      <c r="Q176" s="10" t="n"/>
      <c r="R176" s="30">
        <f>IF(OR(L176="",L176="N/A"),"",IF(L176="Tidak Ada",0,IF(P176="","",IF(P176="Tidak Sesuai",0,IF(AND(N176="Ya",O176="Ya",P176="Sesuai"),1,0.5)))))</f>
        <v/>
      </c>
      <c r="S176" s="30">
        <f>IF(L176="N/A","N/A",IF(R176="","Belum dinilai",IF(R176=1,"Memenuhi",IF(R176=0,"Tidak Memenuhi","Memenuhi Sebagian"))))</f>
        <v/>
      </c>
      <c r="T176" s="31" t="inlineStr">
        <is>
          <t>1.6-2</t>
        </is>
      </c>
      <c r="U176" s="77" t="n"/>
    </row>
    <row r="177" ht="39" customHeight="1">
      <c r="A177" s="77" t="n"/>
      <c r="B177" s="77" t="n"/>
      <c r="C177" s="77" t="n"/>
      <c r="D177" s="77" t="n"/>
      <c r="E177" s="27" t="inlineStr">
        <is>
          <t>A</t>
        </is>
      </c>
      <c r="F177" s="77" t="n"/>
      <c r="G177" s="77" t="n"/>
      <c r="H177" s="77" t="n"/>
      <c r="I177" s="28" t="n">
        <v>3</v>
      </c>
      <c r="J177" s="62" t="inlineStr">
        <is>
          <t>Laporan Evaluasi Dampak Pelatihan terhadap Peningkatan Kompetensi/Keterampilan Manajemen Risiko</t>
        </is>
      </c>
      <c r="K177" s="78" t="inlineStr"/>
      <c r="L177" s="29" t="n"/>
      <c r="M177" s="10" t="n"/>
      <c r="N177" s="29" t="n"/>
      <c r="O177" s="29" t="n"/>
      <c r="P177" s="29" t="n"/>
      <c r="Q177" s="10" t="n"/>
      <c r="R177" s="30">
        <f>IF(OR(L177="",L177="N/A"),"",IF(L177="Tidak Ada",0,IF(P177="","",IF(P177="Tidak Sesuai",0,IF(AND(N177="Ya",O177="Ya",P177="Sesuai"),1,0.5)))))</f>
        <v/>
      </c>
      <c r="S177" s="30">
        <f>IF(L177="N/A","N/A",IF(R177="","Belum dinilai",IF(R177=1,"Memenuhi",IF(R177=0,"Tidak Memenuhi","Memenuhi Sebagian"))))</f>
        <v/>
      </c>
      <c r="T177" s="31" t="inlineStr">
        <is>
          <t>1.6-2</t>
        </is>
      </c>
      <c r="U177" s="77" t="n"/>
    </row>
    <row r="178" ht="39" customHeight="1">
      <c r="A178" s="77" t="n"/>
      <c r="B178" s="77" t="n"/>
      <c r="C178" s="77" t="n"/>
      <c r="D178" s="77" t="n"/>
      <c r="E178" s="27" t="inlineStr">
        <is>
          <t>A</t>
        </is>
      </c>
      <c r="F178" s="77" t="n"/>
      <c r="G178" s="77" t="n"/>
      <c r="H178" s="77" t="n"/>
      <c r="I178" s="28" t="n">
        <v>4</v>
      </c>
      <c r="J178" s="62" t="inlineStr">
        <is>
          <t>Bukti penggunaan kompetensi manajemen risiko dalam pelaksanaan tugas</t>
        </is>
      </c>
      <c r="K178" s="78" t="inlineStr"/>
      <c r="L178" s="29" t="n"/>
      <c r="M178" s="10" t="n"/>
      <c r="N178" s="29" t="n"/>
      <c r="O178" s="29" t="n"/>
      <c r="P178" s="29" t="n"/>
      <c r="Q178" s="10" t="n"/>
      <c r="R178" s="30">
        <f>IF(OR(L178="",L178="N/A"),"",IF(L178="Tidak Ada",0,IF(P178="","",IF(P178="Tidak Sesuai",0,IF(AND(N178="Ya",O178="Ya",P178="Sesuai"),1,0.5)))))</f>
        <v/>
      </c>
      <c r="S178" s="30">
        <f>IF(L178="N/A","N/A",IF(R178="","Belum dinilai",IF(R178=1,"Memenuhi",IF(R178=0,"Tidak Memenuhi","Memenuhi Sebagian"))))</f>
        <v/>
      </c>
      <c r="T178" s="31" t="inlineStr">
        <is>
          <t>1.6-2</t>
        </is>
      </c>
      <c r="U178" s="77" t="n"/>
    </row>
    <row r="179" ht="27" customHeight="1">
      <c r="A179" s="77" t="n"/>
      <c r="B179" s="77" t="n"/>
      <c r="C179" s="77" t="n"/>
      <c r="D179" s="77" t="n"/>
      <c r="E179" s="27" t="inlineStr">
        <is>
          <t>A</t>
        </is>
      </c>
      <c r="F179" s="79" t="n"/>
      <c r="G179" s="79" t="n"/>
      <c r="H179" s="79" t="n"/>
      <c r="I179" s="28" t="n">
        <v>5</v>
      </c>
      <c r="J179" s="62" t="inlineStr">
        <is>
          <t>Bukti perbaikan program pelatihan berdasarkan hasil evaluasi</t>
        </is>
      </c>
      <c r="K179" s="78" t="inlineStr"/>
      <c r="L179" s="29" t="n"/>
      <c r="M179" s="10" t="n"/>
      <c r="N179" s="29" t="n"/>
      <c r="O179" s="29" t="n"/>
      <c r="P179" s="29" t="n"/>
      <c r="Q179" s="10" t="n"/>
      <c r="R179" s="30">
        <f>IF(OR(L179="",L179="N/A"),"",IF(L179="Tidak Ada",0,IF(P179="","",IF(P179="Tidak Sesuai",0,IF(AND(N179="Ya",O179="Ya",P179="Sesuai"),1,0.5)))))</f>
        <v/>
      </c>
      <c r="S179" s="30">
        <f>IF(L179="N/A","N/A",IF(R179="","Belum dinilai",IF(R179=1,"Memenuhi",IF(R179=0,"Tidak Memenuhi","Memenuhi Sebagian"))))</f>
        <v/>
      </c>
      <c r="T179" s="31" t="inlineStr">
        <is>
          <t>1.6-2</t>
        </is>
      </c>
      <c r="U179" s="79" t="n"/>
    </row>
    <row r="180" ht="27" customHeight="1">
      <c r="A180" s="77" t="n"/>
      <c r="B180" s="77" t="n"/>
      <c r="C180" s="77" t="n"/>
      <c r="D180" s="77" t="n"/>
      <c r="E180" s="32" t="inlineStr">
        <is>
          <t>B</t>
        </is>
      </c>
      <c r="F180" s="62" t="inlineStr">
        <is>
          <t>B – Evaluasi &amp; Tindak Lanjut</t>
        </is>
      </c>
      <c r="G180" s="62" t="inlineStr">
        <is>
          <t>Terdapat upaya peningkatan kompetensi dan keterampilan terkait manajemen risiko yang memadai dengan cakupan seluruh pegawai</t>
        </is>
      </c>
      <c r="H180" s="62" t="inlineStr">
        <is>
          <t>Terdapat upaya peningkatan kompetensi dan keterampilan terkait manajemen risiko yang memadai dengan cakupan seluruh pegawai</t>
        </is>
      </c>
      <c r="I180" s="28" t="n">
        <v>1</v>
      </c>
      <c r="J180" s="62" t="inlineStr">
        <is>
          <t>Laporan Evaluasi Pelaksanaan Pelatihan Manajemen Risiko</t>
        </is>
      </c>
      <c r="K180" s="78" t="inlineStr"/>
      <c r="L180" s="29" t="n"/>
      <c r="M180" s="10" t="n"/>
      <c r="N180" s="29" t="n"/>
      <c r="O180" s="29" t="n"/>
      <c r="P180" s="29" t="n"/>
      <c r="Q180" s="10" t="n"/>
      <c r="R180" s="30">
        <f>IF(OR(L180="",L180="N/A"),"",IF(L180="Tidak Ada",0,IF(P180="","",IF(P180="Tidak Sesuai",0,IF(AND(N180="Ya",O180="Ya",P180="Sesuai"),1,0.5)))))</f>
        <v/>
      </c>
      <c r="S180" s="30">
        <f>IF(L180="N/A","N/A",IF(R180="","Belum dinilai",IF(R180=1,"Memenuhi",IF(R180=0,"Tidak Memenuhi","Memenuhi Sebagian"))))</f>
        <v/>
      </c>
      <c r="T180" s="31" t="inlineStr">
        <is>
          <t>1.6-2</t>
        </is>
      </c>
      <c r="U180" s="63">
        <f>IF(COUNT(R180:R183)=0,"",SUM(R180:R183)/COUNT(R180:R183))</f>
        <v/>
      </c>
    </row>
    <row r="181" ht="27" customHeight="1">
      <c r="A181" s="77" t="n"/>
      <c r="B181" s="77" t="n"/>
      <c r="C181" s="77" t="n"/>
      <c r="D181" s="77" t="n"/>
      <c r="E181" s="32" t="inlineStr">
        <is>
          <t>B</t>
        </is>
      </c>
      <c r="F181" s="77" t="n"/>
      <c r="G181" s="77" t="n"/>
      <c r="H181" s="77" t="n"/>
      <c r="I181" s="28" t="n">
        <v>2</v>
      </c>
      <c r="J181" s="62" t="inlineStr">
        <is>
          <t>Rekapitulasi Capaian Pelatihan/Sertifikasi Manajemen Risiko</t>
        </is>
      </c>
      <c r="K181" s="78" t="inlineStr"/>
      <c r="L181" s="29" t="n"/>
      <c r="M181" s="10" t="n"/>
      <c r="N181" s="29" t="n"/>
      <c r="O181" s="29" t="n"/>
      <c r="P181" s="29" t="n"/>
      <c r="Q181" s="10" t="n"/>
      <c r="R181" s="30">
        <f>IF(OR(L181="",L181="N/A"),"",IF(L181="Tidak Ada",0,IF(P181="","",IF(P181="Tidak Sesuai",0,IF(AND(N181="Ya",O181="Ya",P181="Sesuai"),1,0.5)))))</f>
        <v/>
      </c>
      <c r="S181" s="30">
        <f>IF(L181="N/A","N/A",IF(R181="","Belum dinilai",IF(R181=1,"Memenuhi",IF(R181=0,"Tidak Memenuhi","Memenuhi Sebagian"))))</f>
        <v/>
      </c>
      <c r="T181" s="31" t="inlineStr">
        <is>
          <t>1.6-2</t>
        </is>
      </c>
      <c r="U181" s="77" t="n"/>
    </row>
    <row r="182" ht="27" customHeight="1">
      <c r="A182" s="77" t="n"/>
      <c r="B182" s="77" t="n"/>
      <c r="C182" s="77" t="n"/>
      <c r="D182" s="77" t="n"/>
      <c r="E182" s="32" t="inlineStr">
        <is>
          <t>B</t>
        </is>
      </c>
      <c r="F182" s="77" t="n"/>
      <c r="G182" s="77" t="n"/>
      <c r="H182" s="77" t="n"/>
      <c r="I182" s="28" t="n">
        <v>3</v>
      </c>
      <c r="J182" s="62" t="inlineStr">
        <is>
          <t>Hasil Evaluasi Pelatihan</t>
        </is>
      </c>
      <c r="K182" s="78" t="inlineStr"/>
      <c r="L182" s="29" t="n"/>
      <c r="M182" s="10" t="n"/>
      <c r="N182" s="29" t="n"/>
      <c r="O182" s="29" t="n"/>
      <c r="P182" s="29" t="n"/>
      <c r="Q182" s="10" t="n"/>
      <c r="R182" s="30">
        <f>IF(OR(L182="",L182="N/A"),"",IF(L182="Tidak Ada",0,IF(P182="","",IF(P182="Tidak Sesuai",0,IF(AND(N182="Ya",O182="Ya",P182="Sesuai"),1,0.5)))))</f>
        <v/>
      </c>
      <c r="S182" s="30">
        <f>IF(L182="N/A","N/A",IF(R182="","Belum dinilai",IF(R182=1,"Memenuhi",IF(R182=0,"Tidak Memenuhi","Memenuhi Sebagian"))))</f>
        <v/>
      </c>
      <c r="T182" s="31" t="inlineStr">
        <is>
          <t>1.6-2</t>
        </is>
      </c>
      <c r="U182" s="77" t="n"/>
    </row>
    <row r="183" ht="27" customHeight="1">
      <c r="A183" s="77" t="n"/>
      <c r="B183" s="77" t="n"/>
      <c r="C183" s="77" t="n"/>
      <c r="D183" s="77" t="n"/>
      <c r="E183" s="32" t="inlineStr">
        <is>
          <t>B</t>
        </is>
      </c>
      <c r="F183" s="79" t="n"/>
      <c r="G183" s="79" t="n"/>
      <c r="H183" s="79" t="n"/>
      <c r="I183" s="28" t="n">
        <v>4</v>
      </c>
      <c r="J183" s="62" t="inlineStr">
        <is>
          <t>Dokumen Tindak Lanjut Hasil Evaluasi Pelatihan</t>
        </is>
      </c>
      <c r="K183" s="78" t="inlineStr"/>
      <c r="L183" s="29" t="n"/>
      <c r="M183" s="10" t="n"/>
      <c r="N183" s="29" t="n"/>
      <c r="O183" s="29" t="n"/>
      <c r="P183" s="29" t="n"/>
      <c r="Q183" s="10" t="n"/>
      <c r="R183" s="30">
        <f>IF(OR(L183="",L183="N/A"),"",IF(L183="Tidak Ada",0,IF(P183="","",IF(P183="Tidak Sesuai",0,IF(AND(N183="Ya",O183="Ya",P183="Sesuai"),1,0.5)))))</f>
        <v/>
      </c>
      <c r="S183" s="30">
        <f>IF(L183="N/A","N/A",IF(R183="","Belum dinilai",IF(R183=1,"Memenuhi",IF(R183=0,"Tidak Memenuhi","Memenuhi Sebagian"))))</f>
        <v/>
      </c>
      <c r="T183" s="31" t="inlineStr">
        <is>
          <t>1.6-2</t>
        </is>
      </c>
      <c r="U183" s="79" t="n"/>
    </row>
    <row r="184" ht="27" customHeight="1">
      <c r="A184" s="77" t="n"/>
      <c r="B184" s="77" t="n"/>
      <c r="C184" s="77" t="n"/>
      <c r="D184" s="77" t="n"/>
      <c r="E184" s="33" t="inlineStr">
        <is>
          <t>C</t>
        </is>
      </c>
      <c r="F184" s="62" t="inlineStr">
        <is>
          <t>C – Implementasi</t>
        </is>
      </c>
      <c r="G184" s="62" t="inlineStr">
        <is>
          <t>Terdapat upaya peningkatan kompetensi dan keterampilan terkait manajemen risikoyang memadai dengan cakupan sebagian besar pegawai</t>
        </is>
      </c>
      <c r="H184" s="62" t="inlineStr">
        <is>
          <t>Terdapat upaya peningkatan kompetensi dan keterampilan terkait manajemen risikoyang memadai dengan cakupan sebagian besar pegawai</t>
        </is>
      </c>
      <c r="I184" s="28" t="n">
        <v>1</v>
      </c>
      <c r="J184" s="62" t="inlineStr">
        <is>
          <t>Laporan Pelaksanaan Pelatihan Manajemen Risiko</t>
        </is>
      </c>
      <c r="K184" s="78" t="inlineStr"/>
      <c r="L184" s="29" t="n"/>
      <c r="M184" s="10" t="n"/>
      <c r="N184" s="29" t="n"/>
      <c r="O184" s="29" t="n"/>
      <c r="P184" s="29" t="n"/>
      <c r="Q184" s="10" t="n"/>
      <c r="R184" s="30">
        <f>IF(OR(L184="",L184="N/A"),"",IF(L184="Tidak Ada",0,IF(P184="","",IF(P184="Tidak Sesuai",0,IF(AND(N184="Ya",O184="Ya",P184="Sesuai"),1,0.5)))))</f>
        <v/>
      </c>
      <c r="S184" s="30">
        <f>IF(L184="N/A","N/A",IF(R184="","Belum dinilai",IF(R184=1,"Memenuhi",IF(R184=0,"Tidak Memenuhi","Memenuhi Sebagian"))))</f>
        <v/>
      </c>
      <c r="T184" s="31" t="inlineStr">
        <is>
          <t>1.6-2</t>
        </is>
      </c>
      <c r="U184" s="63">
        <f>IF(COUNT(R184:R187)=0,"",SUM(R184:R187)/COUNT(R184:R187))</f>
        <v/>
      </c>
    </row>
    <row r="185" ht="27" customHeight="1">
      <c r="A185" s="77" t="n"/>
      <c r="B185" s="77" t="n"/>
      <c r="C185" s="77" t="n"/>
      <c r="D185" s="77" t="n"/>
      <c r="E185" s="33" t="inlineStr">
        <is>
          <t>C</t>
        </is>
      </c>
      <c r="F185" s="77" t="n"/>
      <c r="G185" s="77" t="n"/>
      <c r="H185" s="77" t="n"/>
      <c r="I185" s="28" t="n">
        <v>2</v>
      </c>
      <c r="J185" s="62" t="inlineStr">
        <is>
          <t>Daftar Peserta/Daftar Hadir Pelatihan</t>
        </is>
      </c>
      <c r="K185" s="78" t="inlineStr"/>
      <c r="L185" s="29" t="inlineStr">
        <is>
          <t>Ada</t>
        </is>
      </c>
      <c r="M185" s="75" t="inlineStr">
        <is>
          <t>Pelatihan Fasilitator</t>
        </is>
      </c>
      <c r="N185" s="29" t="inlineStr">
        <is>
          <t>Ya</t>
        </is>
      </c>
      <c r="O185" s="29" t="inlineStr">
        <is>
          <t>Ya</t>
        </is>
      </c>
      <c r="P185" s="29" t="inlineStr">
        <is>
          <t>Sesuai</t>
        </is>
      </c>
      <c r="Q185" s="10" t="n"/>
      <c r="R185" s="30">
        <f>IF(OR(L185="",L185="N/A"),"",IF(L185="Tidak Ada",0,IF(P185="","",IF(P185="Tidak Sesuai",0,IF(AND(N185="Ya",O185="Ya",P185="Sesuai"),1,0.5)))))</f>
        <v/>
      </c>
      <c r="S185" s="30">
        <f>IF(L185="N/A","N/A",IF(R185="","Belum dinilai",IF(R185=1,"Memenuhi",IF(R185=0,"Tidak Memenuhi","Memenuhi Sebagian"))))</f>
        <v/>
      </c>
      <c r="T185" s="31" t="inlineStr">
        <is>
          <t>1.6-2</t>
        </is>
      </c>
      <c r="U185" s="77" t="n"/>
    </row>
    <row r="186" ht="27" customHeight="1">
      <c r="A186" s="77" t="n"/>
      <c r="B186" s="77" t="n"/>
      <c r="C186" s="77" t="n"/>
      <c r="D186" s="77" t="n"/>
      <c r="E186" s="33" t="inlineStr">
        <is>
          <t>C</t>
        </is>
      </c>
      <c r="F186" s="77" t="n"/>
      <c r="G186" s="77" t="n"/>
      <c r="H186" s="77" t="n"/>
      <c r="I186" s="28" t="n">
        <v>3</v>
      </c>
      <c r="J186" s="62" t="inlineStr">
        <is>
          <t>Sertifikat Pelatihan/Sertifikat Kompetensi Manajemen Risiko</t>
        </is>
      </c>
      <c r="K186" s="78" t="inlineStr"/>
      <c r="L186" s="29" t="n"/>
      <c r="M186" s="10" t="n"/>
      <c r="N186" s="29" t="n"/>
      <c r="O186" s="29" t="n"/>
      <c r="P186" s="29" t="n"/>
      <c r="Q186" s="10" t="n"/>
      <c r="R186" s="30">
        <f>IF(OR(L186="",L186="N/A"),"",IF(L186="Tidak Ada",0,IF(P186="","",IF(P186="Tidak Sesuai",0,IF(AND(N186="Ya",O186="Ya",P186="Sesuai"),1,0.5)))))</f>
        <v/>
      </c>
      <c r="S186" s="30">
        <f>IF(L186="N/A","N/A",IF(R186="","Belum dinilai",IF(R186=1,"Memenuhi",IF(R186=0,"Tidak Memenuhi","Memenuhi Sebagian"))))</f>
        <v/>
      </c>
      <c r="T186" s="31" t="inlineStr">
        <is>
          <t>1.6-2</t>
        </is>
      </c>
      <c r="U186" s="77" t="n"/>
    </row>
    <row r="187" ht="63" customHeight="1">
      <c r="A187" s="77" t="n"/>
      <c r="B187" s="77" t="n"/>
      <c r="C187" s="77" t="n"/>
      <c r="D187" s="77" t="n"/>
      <c r="E187" s="33" t="inlineStr">
        <is>
          <t>C</t>
        </is>
      </c>
      <c r="F187" s="79" t="n"/>
      <c r="G187" s="79" t="n"/>
      <c r="H187" s="79" t="n"/>
      <c r="I187" s="28" t="n">
        <v>4</v>
      </c>
      <c r="J187" s="62" t="inlineStr">
        <is>
          <t>Rekapitulasi Pegawai yang Telah Mengikuti Pelatihan/Sertifikasi Manajemen Risiko 5. Laporan Pelaksanaan In-House Training Manajemen Risiko</t>
        </is>
      </c>
      <c r="K187" s="78" t="inlineStr"/>
      <c r="L187" s="29" t="n"/>
      <c r="M187" s="10" t="n"/>
      <c r="N187" s="29" t="n"/>
      <c r="O187" s="29" t="n"/>
      <c r="P187" s="29" t="n"/>
      <c r="Q187" s="10" t="n"/>
      <c r="R187" s="30">
        <f>IF(OR(L187="",L187="N/A"),"",IF(L187="Tidak Ada",0,IF(P187="","",IF(P187="Tidak Sesuai",0,IF(AND(N187="Ya",O187="Ya",P187="Sesuai"),1,0.5)))))</f>
        <v/>
      </c>
      <c r="S187" s="30">
        <f>IF(L187="N/A","N/A",IF(R187="","Belum dinilai",IF(R187=1,"Memenuhi",IF(R187=0,"Tidak Memenuhi","Memenuhi Sebagian"))))</f>
        <v/>
      </c>
      <c r="T187" s="31" t="inlineStr">
        <is>
          <t>1.6-2</t>
        </is>
      </c>
      <c r="U187" s="79" t="n"/>
    </row>
    <row r="188" ht="27" customHeight="1">
      <c r="A188" s="77" t="n"/>
      <c r="B188" s="77" t="n"/>
      <c r="C188" s="77" t="n"/>
      <c r="D188" s="77" t="n"/>
      <c r="E188" s="34" t="inlineStr">
        <is>
          <t>D</t>
        </is>
      </c>
      <c r="F188" s="62" t="inlineStr">
        <is>
          <t>D – Komunikasi &amp; Pemahaman</t>
        </is>
      </c>
      <c r="G188" s="62" t="inlineStr">
        <is>
          <t>Terdapat upaya peningkatan kompetensi dan keterampilan terkait manajemen risiko yang memadai dengan cakupan sebagian pegawai</t>
        </is>
      </c>
      <c r="H188" s="62" t="inlineStr">
        <is>
          <t>Terdapat upaya peningkatan kompetensi dan keterampilan terkait manajemen risiko yang memadai dengan cakupan sebagian pegawai</t>
        </is>
      </c>
      <c r="I188" s="28" t="n">
        <v>1</v>
      </c>
      <c r="J188" s="62" t="inlineStr">
        <is>
          <t>Rencana/Program Pelatihan Manajemen Risiko</t>
        </is>
      </c>
      <c r="K188" s="78" t="inlineStr"/>
      <c r="L188" s="29" t="n"/>
      <c r="M188" s="10" t="n"/>
      <c r="N188" s="29" t="n"/>
      <c r="O188" s="29" t="n"/>
      <c r="P188" s="29" t="n"/>
      <c r="Q188" s="10" t="n"/>
      <c r="R188" s="30">
        <f>IF(OR(L188="",L188="N/A"),"",IF(L188="Tidak Ada",0,IF(P188="","",IF(P188="Tidak Sesuai",0,IF(AND(N188="Ya",O188="Ya",P188="Sesuai"),1,0.5)))))</f>
        <v/>
      </c>
      <c r="S188" s="30">
        <f>IF(L188="N/A","N/A",IF(R188="","Belum dinilai",IF(R188=1,"Memenuhi",IF(R188=0,"Tidak Memenuhi","Memenuhi Sebagian"))))</f>
        <v/>
      </c>
      <c r="T188" s="31" t="inlineStr">
        <is>
          <t>1.6-2</t>
        </is>
      </c>
      <c r="U188" s="63">
        <f>IF(COUNT(R188:R191)=0,"",SUM(R188:R191)/COUNT(R188:R191))</f>
        <v/>
      </c>
    </row>
    <row r="189" ht="39" customHeight="1">
      <c r="A189" s="77" t="n"/>
      <c r="B189" s="77" t="n"/>
      <c r="C189" s="77" t="n"/>
      <c r="D189" s="77" t="n"/>
      <c r="E189" s="34" t="inlineStr">
        <is>
          <t>D</t>
        </is>
      </c>
      <c r="F189" s="77" t="n"/>
      <c r="G189" s="77" t="n"/>
      <c r="H189" s="77" t="n"/>
      <c r="I189" s="28" t="n">
        <v>2</v>
      </c>
      <c r="J189" s="62" t="inlineStr">
        <is>
          <t>Undangan/Surat Pemberitahuan Pelatihan/In-House Training Manajemen Risiko</t>
        </is>
      </c>
      <c r="K189" s="78" t="inlineStr"/>
      <c r="L189" s="29" t="n"/>
      <c r="M189" s="10" t="n"/>
      <c r="N189" s="29" t="n"/>
      <c r="O189" s="29" t="n"/>
      <c r="P189" s="29" t="n"/>
      <c r="Q189" s="10" t="n"/>
      <c r="R189" s="30">
        <f>IF(OR(L189="",L189="N/A"),"",IF(L189="Tidak Ada",0,IF(P189="","",IF(P189="Tidak Sesuai",0,IF(AND(N189="Ya",O189="Ya",P189="Sesuai"),1,0.5)))))</f>
        <v/>
      </c>
      <c r="S189" s="30">
        <f>IF(L189="N/A","N/A",IF(R189="","Belum dinilai",IF(R189=1,"Memenuhi",IF(R189=0,"Tidak Memenuhi","Memenuhi Sebagian"))))</f>
        <v/>
      </c>
      <c r="T189" s="31" t="inlineStr">
        <is>
          <t>1.6-2</t>
        </is>
      </c>
      <c r="U189" s="77" t="n"/>
    </row>
    <row r="190" ht="27" customHeight="1">
      <c r="A190" s="77" t="n"/>
      <c r="B190" s="77" t="n"/>
      <c r="C190" s="77" t="n"/>
      <c r="D190" s="77" t="n"/>
      <c r="E190" s="34" t="inlineStr">
        <is>
          <t>D</t>
        </is>
      </c>
      <c r="F190" s="77" t="n"/>
      <c r="G190" s="77" t="n"/>
      <c r="H190" s="77" t="n"/>
      <c r="I190" s="28" t="n">
        <v>3</v>
      </c>
      <c r="J190" s="62" t="inlineStr">
        <is>
          <t>Daftar Peserta Pelatihan/In-House Training</t>
        </is>
      </c>
      <c r="K190" s="78" t="inlineStr"/>
      <c r="L190" s="29" t="n"/>
      <c r="M190" s="10" t="n"/>
      <c r="N190" s="29" t="n"/>
      <c r="O190" s="29" t="n"/>
      <c r="P190" s="29" t="n"/>
      <c r="Q190" s="10" t="n"/>
      <c r="R190" s="30">
        <f>IF(OR(L190="",L190="N/A"),"",IF(L190="Tidak Ada",0,IF(P190="","",IF(P190="Tidak Sesuai",0,IF(AND(N190="Ya",O190="Ya",P190="Sesuai"),1,0.5)))))</f>
        <v/>
      </c>
      <c r="S190" s="30">
        <f>IF(L190="N/A","N/A",IF(R190="","Belum dinilai",IF(R190=1,"Memenuhi",IF(R190=0,"Tidak Memenuhi","Memenuhi Sebagian"))))</f>
        <v/>
      </c>
      <c r="T190" s="31" t="inlineStr">
        <is>
          <t>1.6-2</t>
        </is>
      </c>
      <c r="U190" s="77" t="n"/>
    </row>
    <row r="191" ht="27" customHeight="1">
      <c r="A191" s="77" t="n"/>
      <c r="B191" s="77" t="n"/>
      <c r="C191" s="77" t="n"/>
      <c r="D191" s="77" t="n"/>
      <c r="E191" s="34" t="inlineStr">
        <is>
          <t>D</t>
        </is>
      </c>
      <c r="F191" s="79" t="n"/>
      <c r="G191" s="79" t="n"/>
      <c r="H191" s="79" t="n"/>
      <c r="I191" s="28" t="n">
        <v>4</v>
      </c>
      <c r="J191" s="62" t="inlineStr">
        <is>
          <t>Materi Pelatihan Manajemen Risiko</t>
        </is>
      </c>
      <c r="K191" s="78" t="inlineStr"/>
      <c r="L191" s="29" t="n"/>
      <c r="M191" s="10" t="n"/>
      <c r="N191" s="29" t="n"/>
      <c r="O191" s="29" t="n"/>
      <c r="P191" s="29" t="n"/>
      <c r="Q191" s="10" t="n"/>
      <c r="R191" s="30">
        <f>IF(OR(L191="",L191="N/A"),"",IF(L191="Tidak Ada",0,IF(P191="","",IF(P191="Tidak Sesuai",0,IF(AND(N191="Ya",O191="Ya",P191="Sesuai"),1,0.5)))))</f>
        <v/>
      </c>
      <c r="S191" s="30">
        <f>IF(L191="N/A","N/A",IF(R191="","Belum dinilai",IF(R191=1,"Memenuhi",IF(R191=0,"Tidak Memenuhi","Memenuhi Sebagian"))))</f>
        <v/>
      </c>
      <c r="T191" s="31" t="inlineStr">
        <is>
          <t>1.6-2</t>
        </is>
      </c>
      <c r="U191" s="79" t="n"/>
    </row>
    <row r="192" ht="27" customHeight="1">
      <c r="A192" s="77" t="n"/>
      <c r="B192" s="77" t="n"/>
      <c r="C192" s="77" t="n"/>
      <c r="D192" s="77" t="n"/>
      <c r="E192" s="35" t="inlineStr">
        <is>
          <t>E</t>
        </is>
      </c>
      <c r="F192" s="62" t="inlineStr">
        <is>
          <t>E – Kebijakan/Formalitas</t>
        </is>
      </c>
      <c r="G192" s="62" t="inlineStr">
        <is>
          <t>Terdapat upaya peningkatan kompetensi dan keterampilan terkait manajemen risiko namun belum memadai</t>
        </is>
      </c>
      <c r="H192" s="62" t="inlineStr">
        <is>
          <t>Terdapat upaya peningkatan kompetensi dan keterampilan terkait manajemen risiko namun belum memadai</t>
        </is>
      </c>
      <c r="I192" s="28" t="n">
        <v>1</v>
      </c>
      <c r="J192" s="62" t="inlineStr">
        <is>
          <t>Dokumen Program/Rencana Pelatihan Manajemen Risiko</t>
        </is>
      </c>
      <c r="K192" s="78" t="inlineStr"/>
      <c r="L192" s="29" t="n"/>
      <c r="M192" s="10" t="n"/>
      <c r="N192" s="29" t="n"/>
      <c r="O192" s="29" t="n"/>
      <c r="P192" s="29" t="n"/>
      <c r="Q192" s="10" t="n"/>
      <c r="R192" s="30">
        <f>IF(OR(L192="",L192="N/A"),"",IF(L192="Tidak Ada",0,IF(P192="","",IF(P192="Tidak Sesuai",0,IF(AND(N192="Ya",O192="Ya",P192="Sesuai"),1,0.5)))))</f>
        <v/>
      </c>
      <c r="S192" s="30">
        <f>IF(L192="N/A","N/A",IF(R192="","Belum dinilai",IF(R192=1,"Memenuhi",IF(R192=0,"Tidak Memenuhi","Memenuhi Sebagian"))))</f>
        <v/>
      </c>
      <c r="T192" s="31" t="inlineStr">
        <is>
          <t>1.6-2</t>
        </is>
      </c>
      <c r="U192" s="63">
        <f>IF(COUNT(R192:R194)=0,"",SUM(R192:R194)/COUNT(R192:R194))</f>
        <v/>
      </c>
    </row>
    <row r="193" ht="27" customHeight="1">
      <c r="A193" s="77" t="n"/>
      <c r="B193" s="77" t="n"/>
      <c r="C193" s="77" t="n"/>
      <c r="D193" s="77" t="n"/>
      <c r="E193" s="35" t="inlineStr">
        <is>
          <t>E</t>
        </is>
      </c>
      <c r="F193" s="77" t="n"/>
      <c r="G193" s="77" t="n"/>
      <c r="H193" s="77" t="n"/>
      <c r="I193" s="28" t="n">
        <v>2</v>
      </c>
      <c r="J193" s="62" t="inlineStr">
        <is>
          <t>Surat Keputusan/Surat Tugas Pelatihan Manajemen Risiko, jika ada</t>
        </is>
      </c>
      <c r="K193" s="78" t="inlineStr"/>
      <c r="L193" s="29" t="n"/>
      <c r="M193" s="10" t="n"/>
      <c r="N193" s="29" t="n"/>
      <c r="O193" s="29" t="n"/>
      <c r="P193" s="29" t="n"/>
      <c r="Q193" s="10" t="n"/>
      <c r="R193" s="30">
        <f>IF(OR(L193="",L193="N/A"),"",IF(L193="Tidak Ada",0,IF(P193="","",IF(P193="Tidak Sesuai",0,IF(AND(N193="Ya",O193="Ya",P193="Sesuai"),1,0.5)))))</f>
        <v/>
      </c>
      <c r="S193" s="30">
        <f>IF(L193="N/A","N/A",IF(R193="","Belum dinilai",IF(R193=1,"Memenuhi",IF(R193=0,"Tidak Memenuhi","Memenuhi Sebagian"))))</f>
        <v/>
      </c>
      <c r="T193" s="31" t="inlineStr">
        <is>
          <t>1.6-2</t>
        </is>
      </c>
      <c r="U193" s="77" t="n"/>
    </row>
    <row r="194" ht="27" customHeight="1">
      <c r="A194" s="79" t="n"/>
      <c r="B194" s="79" t="n"/>
      <c r="C194" s="79" t="n"/>
      <c r="D194" s="79" t="n"/>
      <c r="E194" s="35" t="inlineStr">
        <is>
          <t>E</t>
        </is>
      </c>
      <c r="F194" s="79" t="n"/>
      <c r="G194" s="79" t="n"/>
      <c r="H194" s="79" t="n"/>
      <c r="I194" s="28" t="n">
        <v>3</v>
      </c>
      <c r="J194" s="62" t="inlineStr">
        <is>
          <t>Daftar kebutuhan pelatihan/sertifikasi manajemen risiko</t>
        </is>
      </c>
      <c r="K194" s="78" t="inlineStr"/>
      <c r="L194" s="29" t="n"/>
      <c r="M194" s="10" t="n"/>
      <c r="N194" s="29" t="n"/>
      <c r="O194" s="29" t="n"/>
      <c r="P194" s="29" t="n"/>
      <c r="Q194" s="10" t="n"/>
      <c r="R194" s="30">
        <f>IF(OR(L194="",L194="N/A"),"",IF(L194="Tidak Ada",0,IF(P194="","",IF(P194="Tidak Sesuai",0,IF(AND(N194="Ya",O194="Ya",P194="Sesuai"),1,0.5)))))</f>
        <v/>
      </c>
      <c r="S194" s="30">
        <f>IF(L194="N/A","N/A",IF(R194="","Belum dinilai",IF(R194=1,"Memenuhi",IF(R194=0,"Tidak Memenuhi","Memenuhi Sebagian"))))</f>
        <v/>
      </c>
      <c r="T194" s="31" t="inlineStr">
        <is>
          <t>1.6-2</t>
        </is>
      </c>
      <c r="U194" s="79" t="n"/>
    </row>
    <row r="195" ht="39" customHeight="1">
      <c r="A195" s="56" t="inlineStr">
        <is>
          <t>1.6</t>
        </is>
      </c>
      <c r="B195" s="57" t="inlineStr">
        <is>
          <t>Penyusunan dan Penerapan Kebijakan yang Sehat tentang Pembinaan SDM</t>
        </is>
      </c>
      <c r="C195" s="58" t="n">
        <v>3</v>
      </c>
      <c r="D195" s="59" t="inlineStr">
        <is>
          <t>Pegawai memiliki kesadaran terkait manajemen risiko</t>
        </is>
      </c>
      <c r="E195" s="21" t="inlineStr">
        <is>
          <t>A</t>
        </is>
      </c>
      <c r="F195" s="60" t="inlineStr">
        <is>
          <t>A – Perbaikan Berkelanjutan</t>
        </is>
      </c>
      <c r="G195" s="60" t="inlineStr">
        <is>
          <t>Seluruh pegawai telah memiliki pemahaman terkait manajemen risiko</t>
        </is>
      </c>
      <c r="H195" s="60" t="inlineStr">
        <is>
          <t>Seluruh pegawai telah memiliki pemahaman terkait manajemen risiko</t>
        </is>
      </c>
      <c r="I195" s="22" t="n">
        <v>1</v>
      </c>
      <c r="J195" s="60" t="inlineStr">
        <is>
          <t>Laporan Hasil Evaluasi Kesadaran dan Penerapan Manajemen Risiko Pegawai</t>
        </is>
      </c>
      <c r="K195" s="76" t="inlineStr"/>
      <c r="L195" s="23" t="n"/>
      <c r="M195" s="24" t="n"/>
      <c r="N195" s="23" t="n"/>
      <c r="O195" s="23" t="n"/>
      <c r="P195" s="23" t="n"/>
      <c r="Q195" s="24" t="n"/>
      <c r="R195" s="25">
        <f>IF(OR(L195="",L195="N/A"),"",IF(L195="Tidak Ada",0,IF(P195="","",IF(P195="Tidak Sesuai",0,IF(AND(N195="Ya",O195="Ya",P195="Sesuai"),1,0.5)))))</f>
        <v/>
      </c>
      <c r="S195" s="25">
        <f>IF(L195="N/A","N/A",IF(R195="","Belum dinilai",IF(R195=1,"Memenuhi",IF(R195=0,"Tidak Memenuhi","Memenuhi Sebagian"))))</f>
        <v/>
      </c>
      <c r="T195" s="26" t="inlineStr">
        <is>
          <t>1.6-3</t>
        </is>
      </c>
      <c r="U195" s="61">
        <f>IF(COUNT(R195:R198)=0,"",SUM(R195:R198)/COUNT(R195:R198))</f>
        <v/>
      </c>
    </row>
    <row r="196" ht="15" customHeight="1">
      <c r="A196" s="77" t="n"/>
      <c r="B196" s="77" t="n"/>
      <c r="C196" s="77" t="n"/>
      <c r="D196" s="77" t="n"/>
      <c r="E196" s="27" t="inlineStr">
        <is>
          <t>A</t>
        </is>
      </c>
      <c r="F196" s="77" t="n"/>
      <c r="G196" s="77" t="n"/>
      <c r="H196" s="77" t="n"/>
      <c r="I196" s="28" t="n">
        <v>2</v>
      </c>
      <c r="J196" s="62" t="inlineStr">
        <is>
          <t>Rekapitulasi Hasil Kuesioner</t>
        </is>
      </c>
      <c r="K196" s="78" t="inlineStr"/>
      <c r="L196" s="29" t="n"/>
      <c r="M196" s="10" t="n"/>
      <c r="N196" s="29" t="n"/>
      <c r="O196" s="29" t="n"/>
      <c r="P196" s="29" t="n"/>
      <c r="Q196" s="10" t="n"/>
      <c r="R196" s="30">
        <f>IF(OR(L196="",L196="N/A"),"",IF(L196="Tidak Ada",0,IF(P196="","",IF(P196="Tidak Sesuai",0,IF(AND(N196="Ya",O196="Ya",P196="Sesuai"),1,0.5)))))</f>
        <v/>
      </c>
      <c r="S196" s="30">
        <f>IF(L196="N/A","N/A",IF(R196="","Belum dinilai",IF(R196=1,"Memenuhi",IF(R196=0,"Tidak Memenuhi","Memenuhi Sebagian"))))</f>
        <v/>
      </c>
      <c r="T196" s="31" t="inlineStr">
        <is>
          <t>1.6-3</t>
        </is>
      </c>
      <c r="U196" s="77" t="n"/>
    </row>
    <row r="197" ht="27" customHeight="1">
      <c r="A197" s="77" t="n"/>
      <c r="B197" s="77" t="n"/>
      <c r="C197" s="77" t="n"/>
      <c r="D197" s="77" t="n"/>
      <c r="E197" s="27" t="inlineStr">
        <is>
          <t>A</t>
        </is>
      </c>
      <c r="F197" s="77" t="n"/>
      <c r="G197" s="77" t="n"/>
      <c r="H197" s="77" t="n"/>
      <c r="I197" s="28" t="n">
        <v>3</v>
      </c>
      <c r="J197" s="62" t="inlineStr">
        <is>
          <t>Bukti Keterlibatan Pegawai dalam Pengelolaan Risiko</t>
        </is>
      </c>
      <c r="K197" s="78" t="inlineStr"/>
      <c r="L197" s="29" t="n"/>
      <c r="M197" s="10" t="n"/>
      <c r="N197" s="29" t="n"/>
      <c r="O197" s="29" t="n"/>
      <c r="P197" s="29" t="n"/>
      <c r="Q197" s="10" t="n"/>
      <c r="R197" s="30">
        <f>IF(OR(L197="",L197="N/A"),"",IF(L197="Tidak Ada",0,IF(P197="","",IF(P197="Tidak Sesuai",0,IF(AND(N197="Ya",O197="Ya",P197="Sesuai"),1,0.5)))))</f>
        <v/>
      </c>
      <c r="S197" s="30">
        <f>IF(L197="N/A","N/A",IF(R197="","Belum dinilai",IF(R197=1,"Memenuhi",IF(R197=0,"Tidak Memenuhi","Memenuhi Sebagian"))))</f>
        <v/>
      </c>
      <c r="T197" s="31" t="inlineStr">
        <is>
          <t>1.6-3</t>
        </is>
      </c>
      <c r="U197" s="77" t="n"/>
    </row>
    <row r="198" ht="27" customHeight="1">
      <c r="A198" s="77" t="n"/>
      <c r="B198" s="77" t="n"/>
      <c r="C198" s="77" t="n"/>
      <c r="D198" s="77" t="n"/>
      <c r="E198" s="27" t="inlineStr">
        <is>
          <t>A</t>
        </is>
      </c>
      <c r="F198" s="79" t="n"/>
      <c r="G198" s="79" t="n"/>
      <c r="H198" s="79" t="n"/>
      <c r="I198" s="28" t="n">
        <v>4</v>
      </c>
      <c r="J198" s="62" t="inlineStr">
        <is>
          <t>Bukti Tindak Lanjut/Perbaikan Penerapan MR</t>
        </is>
      </c>
      <c r="K198" s="78" t="inlineStr"/>
      <c r="L198" s="29" t="n"/>
      <c r="M198" s="10" t="n"/>
      <c r="N198" s="29" t="n"/>
      <c r="O198" s="29" t="n"/>
      <c r="P198" s="29" t="n"/>
      <c r="Q198" s="10" t="n"/>
      <c r="R198" s="30">
        <f>IF(OR(L198="",L198="N/A"),"",IF(L198="Tidak Ada",0,IF(P198="","",IF(P198="Tidak Sesuai",0,IF(AND(N198="Ya",O198="Ya",P198="Sesuai"),1,0.5)))))</f>
        <v/>
      </c>
      <c r="S198" s="30">
        <f>IF(L198="N/A","N/A",IF(R198="","Belum dinilai",IF(R198=1,"Memenuhi",IF(R198=0,"Tidak Memenuhi","Memenuhi Sebagian"))))</f>
        <v/>
      </c>
      <c r="T198" s="31" t="inlineStr">
        <is>
          <t>1.6-3</t>
        </is>
      </c>
      <c r="U198" s="79" t="n"/>
    </row>
    <row r="199" ht="27" customHeight="1">
      <c r="A199" s="77" t="n"/>
      <c r="B199" s="77" t="n"/>
      <c r="C199" s="77" t="n"/>
      <c r="D199" s="77" t="n"/>
      <c r="E199" s="32" t="inlineStr">
        <is>
          <t>B</t>
        </is>
      </c>
      <c r="F199" s="62" t="inlineStr">
        <is>
          <t>B – Evaluasi &amp; Tindak Lanjut</t>
        </is>
      </c>
      <c r="G199" s="62" t="inlineStr">
        <is>
          <t>Sebagian besar pegawai telah memiliki pemahaman terkait manajemen risiko</t>
        </is>
      </c>
      <c r="H199" s="62" t="inlineStr">
        <is>
          <t>Sebagian besar pegawai telah memiliki pemahaman terkait manajemen risiko</t>
        </is>
      </c>
      <c r="I199" s="28" t="n">
        <v>1</v>
      </c>
      <c r="J199" s="62" t="inlineStr">
        <is>
          <t>Laporan Hasil Evaluasi Kesadaran Manajemen Risiko Pegawai</t>
        </is>
      </c>
      <c r="K199" s="78" t="inlineStr"/>
      <c r="L199" s="29" t="n"/>
      <c r="M199" s="10" t="n"/>
      <c r="N199" s="29" t="n"/>
      <c r="O199" s="29" t="n"/>
      <c r="P199" s="29" t="n"/>
      <c r="Q199" s="10" t="n"/>
      <c r="R199" s="30">
        <f>IF(OR(L199="",L199="N/A"),"",IF(L199="Tidak Ada",0,IF(P199="","",IF(P199="Tidak Sesuai",0,IF(AND(N199="Ya",O199="Ya",P199="Sesuai"),1,0.5)))))</f>
        <v/>
      </c>
      <c r="S199" s="30">
        <f>IF(L199="N/A","N/A",IF(R199="","Belum dinilai",IF(R199=1,"Memenuhi",IF(R199=0,"Tidak Memenuhi","Memenuhi Sebagian"))))</f>
        <v/>
      </c>
      <c r="T199" s="31" t="inlineStr">
        <is>
          <t>1.6-3</t>
        </is>
      </c>
      <c r="U199" s="63">
        <f>IF(COUNT(R199:R202)=0,"",SUM(R199:R202)/COUNT(R199:R202))</f>
        <v/>
      </c>
    </row>
    <row r="200" ht="15" customHeight="1">
      <c r="A200" s="77" t="n"/>
      <c r="B200" s="77" t="n"/>
      <c r="C200" s="77" t="n"/>
      <c r="D200" s="77" t="n"/>
      <c r="E200" s="32" t="inlineStr">
        <is>
          <t>B</t>
        </is>
      </c>
      <c r="F200" s="77" t="n"/>
      <c r="G200" s="77" t="n"/>
      <c r="H200" s="77" t="n"/>
      <c r="I200" s="28" t="n">
        <v>2</v>
      </c>
      <c r="J200" s="62" t="inlineStr">
        <is>
          <t>Rekapitulasi Hasil Kuesioner</t>
        </is>
      </c>
      <c r="K200" s="78" t="inlineStr"/>
      <c r="L200" s="29" t="n"/>
      <c r="M200" s="10" t="n"/>
      <c r="N200" s="29" t="n"/>
      <c r="O200" s="29" t="n"/>
      <c r="P200" s="29" t="n"/>
      <c r="Q200" s="10" t="n"/>
      <c r="R200" s="30">
        <f>IF(OR(L200="",L200="N/A"),"",IF(L200="Tidak Ada",0,IF(P200="","",IF(P200="Tidak Sesuai",0,IF(AND(N200="Ya",O200="Ya",P200="Sesuai"),1,0.5)))))</f>
        <v/>
      </c>
      <c r="S200" s="30">
        <f>IF(L200="N/A","N/A",IF(R200="","Belum dinilai",IF(R200=1,"Memenuhi",IF(R200=0,"Tidak Memenuhi","Memenuhi Sebagian"))))</f>
        <v/>
      </c>
      <c r="T200" s="31" t="inlineStr">
        <is>
          <t>1.6-3</t>
        </is>
      </c>
      <c r="U200" s="77" t="n"/>
    </row>
    <row r="201" ht="27" customHeight="1">
      <c r="A201" s="77" t="n"/>
      <c r="B201" s="77" t="n"/>
      <c r="C201" s="77" t="n"/>
      <c r="D201" s="77" t="n"/>
      <c r="E201" s="32" t="inlineStr">
        <is>
          <t>B</t>
        </is>
      </c>
      <c r="F201" s="77" t="n"/>
      <c r="G201" s="77" t="n"/>
      <c r="H201" s="77" t="n"/>
      <c r="I201" s="28" t="n">
        <v>3</v>
      </c>
      <c r="J201" s="62" t="inlineStr">
        <is>
          <t>Bukti Keterlibatan Pegawai dalam Pengelolaan Risiko</t>
        </is>
      </c>
      <c r="K201" s="78" t="inlineStr"/>
      <c r="L201" s="29" t="n"/>
      <c r="M201" s="10" t="n"/>
      <c r="N201" s="29" t="n"/>
      <c r="O201" s="29" t="n"/>
      <c r="P201" s="29" t="n"/>
      <c r="Q201" s="10" t="n"/>
      <c r="R201" s="30">
        <f>IF(OR(L201="",L201="N/A"),"",IF(L201="Tidak Ada",0,IF(P201="","",IF(P201="Tidak Sesuai",0,IF(AND(N201="Ya",O201="Ya",P201="Sesuai"),1,0.5)))))</f>
        <v/>
      </c>
      <c r="S201" s="30">
        <f>IF(L201="N/A","N/A",IF(R201="","Belum dinilai",IF(R201=1,"Memenuhi",IF(R201=0,"Tidak Memenuhi","Memenuhi Sebagian"))))</f>
        <v/>
      </c>
      <c r="T201" s="31" t="inlineStr">
        <is>
          <t>1.6-3</t>
        </is>
      </c>
      <c r="U201" s="77" t="n"/>
    </row>
    <row r="202" ht="27" customHeight="1">
      <c r="A202" s="77" t="n"/>
      <c r="B202" s="77" t="n"/>
      <c r="C202" s="77" t="n"/>
      <c r="D202" s="77" t="n"/>
      <c r="E202" s="32" t="inlineStr">
        <is>
          <t>B</t>
        </is>
      </c>
      <c r="F202" s="79" t="n"/>
      <c r="G202" s="79" t="n"/>
      <c r="H202" s="79" t="n"/>
      <c r="I202" s="28" t="n">
        <v>4</v>
      </c>
      <c r="J202" s="62" t="inlineStr">
        <is>
          <t>Dokumen Tindak Lanjut Hasil Evaluasi</t>
        </is>
      </c>
      <c r="K202" s="78" t="inlineStr"/>
      <c r="L202" s="29" t="n"/>
      <c r="M202" s="10" t="n"/>
      <c r="N202" s="29" t="n"/>
      <c r="O202" s="29" t="n"/>
      <c r="P202" s="29" t="n"/>
      <c r="Q202" s="10" t="n"/>
      <c r="R202" s="30">
        <f>IF(OR(L202="",L202="N/A"),"",IF(L202="Tidak Ada",0,IF(P202="","",IF(P202="Tidak Sesuai",0,IF(AND(N202="Ya",O202="Ya",P202="Sesuai"),1,0.5)))))</f>
        <v/>
      </c>
      <c r="S202" s="30">
        <f>IF(L202="N/A","N/A",IF(R202="","Belum dinilai",IF(R202=1,"Memenuhi",IF(R202=0,"Tidak Memenuhi","Memenuhi Sebagian"))))</f>
        <v/>
      </c>
      <c r="T202" s="31" t="inlineStr">
        <is>
          <t>1.6-3</t>
        </is>
      </c>
      <c r="U202" s="79" t="n"/>
    </row>
    <row r="203" ht="27" customHeight="1">
      <c r="A203" s="77" t="n"/>
      <c r="B203" s="77" t="n"/>
      <c r="C203" s="77" t="n"/>
      <c r="D203" s="77" t="n"/>
      <c r="E203" s="33" t="inlineStr">
        <is>
          <t>C</t>
        </is>
      </c>
      <c r="F203" s="62" t="inlineStr">
        <is>
          <t>C – Implementasi</t>
        </is>
      </c>
      <c r="G203" s="62" t="inlineStr">
        <is>
          <t>Sebagian pegawai telah memiliki pemahaman terkait manajemen risiko</t>
        </is>
      </c>
      <c r="H203" s="62" t="inlineStr">
        <is>
          <t>Sebagian pegawai telah memiliki pemahaman terkait manajemen risiko</t>
        </is>
      </c>
      <c r="I203" s="28" t="n">
        <v>1</v>
      </c>
      <c r="J203" s="62" t="inlineStr">
        <is>
          <t>Rekapitulasi Hasil Kuesioner Kesadaran Manajemen Risiko</t>
        </is>
      </c>
      <c r="K203" s="78" t="inlineStr"/>
      <c r="L203" s="29" t="n"/>
      <c r="M203" s="10" t="n"/>
      <c r="N203" s="29" t="n"/>
      <c r="O203" s="29" t="n"/>
      <c r="P203" s="29" t="n"/>
      <c r="Q203" s="10" t="n"/>
      <c r="R203" s="30">
        <f>IF(OR(L203="",L203="N/A"),"",IF(L203="Tidak Ada",0,IF(P203="","",IF(P203="Tidak Sesuai",0,IF(AND(N203="Ya",O203="Ya",P203="Sesuai"),1,0.5)))))</f>
        <v/>
      </c>
      <c r="S203" s="30">
        <f>IF(L203="N/A","N/A",IF(R203="","Belum dinilai",IF(R203=1,"Memenuhi",IF(R203=0,"Tidak Memenuhi","Memenuhi Sebagian"))))</f>
        <v/>
      </c>
      <c r="T203" s="31" t="inlineStr">
        <is>
          <t>1.6-3</t>
        </is>
      </c>
      <c r="U203" s="63">
        <f>IF(COUNT(R203:R205)=0,"",SUM(R203:R205)/COUNT(R203:R205))</f>
        <v/>
      </c>
    </row>
    <row r="204" ht="27" customHeight="1">
      <c r="A204" s="77" t="n"/>
      <c r="B204" s="77" t="n"/>
      <c r="C204" s="77" t="n"/>
      <c r="D204" s="77" t="n"/>
      <c r="E204" s="33" t="inlineStr">
        <is>
          <t>C</t>
        </is>
      </c>
      <c r="F204" s="77" t="n"/>
      <c r="G204" s="77" t="n"/>
      <c r="H204" s="77" t="n"/>
      <c r="I204" s="28" t="n">
        <v>2</v>
      </c>
      <c r="J204" s="62" t="inlineStr">
        <is>
          <t>Daftar Peserta Sosialisasi/Pelatihan MR</t>
        </is>
      </c>
      <c r="K204" s="78" t="inlineStr"/>
      <c r="L204" s="29" t="n"/>
      <c r="M204" s="10" t="n"/>
      <c r="N204" s="29" t="n"/>
      <c r="O204" s="29" t="n"/>
      <c r="P204" s="29" t="n"/>
      <c r="Q204" s="10" t="n"/>
      <c r="R204" s="30">
        <f>IF(OR(L204="",L204="N/A"),"",IF(L204="Tidak Ada",0,IF(P204="","",IF(P204="Tidak Sesuai",0,IF(AND(N204="Ya",O204="Ya",P204="Sesuai"),1,0.5)))))</f>
        <v/>
      </c>
      <c r="S204" s="30">
        <f>IF(L204="N/A","N/A",IF(R204="","Belum dinilai",IF(R204=1,"Memenuhi",IF(R204=0,"Tidak Memenuhi","Memenuhi Sebagian"))))</f>
        <v/>
      </c>
      <c r="T204" s="31" t="inlineStr">
        <is>
          <t>1.6-3</t>
        </is>
      </c>
      <c r="U204" s="77" t="n"/>
    </row>
    <row r="205" ht="27" customHeight="1">
      <c r="A205" s="77" t="n"/>
      <c r="B205" s="77" t="n"/>
      <c r="C205" s="77" t="n"/>
      <c r="D205" s="77" t="n"/>
      <c r="E205" s="33" t="inlineStr">
        <is>
          <t>C</t>
        </is>
      </c>
      <c r="F205" s="79" t="n"/>
      <c r="G205" s="79" t="n"/>
      <c r="H205" s="79" t="n"/>
      <c r="I205" s="28" t="n">
        <v>3</v>
      </c>
      <c r="J205" s="62" t="inlineStr">
        <is>
          <t>Bukti Keterlibatan Pegawai dalam Identifikasi/Penilaian Risiko</t>
        </is>
      </c>
      <c r="K205" s="78" t="inlineStr"/>
      <c r="L205" s="29" t="n"/>
      <c r="M205" s="10" t="n"/>
      <c r="N205" s="29" t="n"/>
      <c r="O205" s="29" t="n"/>
      <c r="P205" s="29" t="n"/>
      <c r="Q205" s="10" t="n"/>
      <c r="R205" s="30">
        <f>IF(OR(L205="",L205="N/A"),"",IF(L205="Tidak Ada",0,IF(P205="","",IF(P205="Tidak Sesuai",0,IF(AND(N205="Ya",O205="Ya",P205="Sesuai"),1,0.5)))))</f>
        <v/>
      </c>
      <c r="S205" s="30">
        <f>IF(L205="N/A","N/A",IF(R205="","Belum dinilai",IF(R205=1,"Memenuhi",IF(R205=0,"Tidak Memenuhi","Memenuhi Sebagian"))))</f>
        <v/>
      </c>
      <c r="T205" s="31" t="inlineStr">
        <is>
          <t>1.6-3</t>
        </is>
      </c>
      <c r="U205" s="79" t="n"/>
    </row>
    <row r="206" ht="27" customHeight="1">
      <c r="A206" s="77" t="n"/>
      <c r="B206" s="77" t="n"/>
      <c r="C206" s="77" t="n"/>
      <c r="D206" s="77" t="n"/>
      <c r="E206" s="34" t="inlineStr">
        <is>
          <t>D</t>
        </is>
      </c>
      <c r="F206" s="62" t="inlineStr">
        <is>
          <t>D – Komunikasi &amp; Pemahaman</t>
        </is>
      </c>
      <c r="G206" s="62" t="inlineStr">
        <is>
          <t>Sebagian kecil pegawai telah memiliki pemahaman terkait manajemen risiko</t>
        </is>
      </c>
      <c r="H206" s="62" t="inlineStr">
        <is>
          <t>Sebagian kecil pegawai telah memiliki pemahaman terkait manajemen risiko</t>
        </is>
      </c>
      <c r="I206" s="28" t="n">
        <v>1</v>
      </c>
      <c r="J206" s="62" t="inlineStr">
        <is>
          <t>Hasil Kuesioner/Survei Kesadaran Manajemen Risiko Pegawai</t>
        </is>
      </c>
      <c r="K206" s="78" t="inlineStr"/>
      <c r="L206" s="29" t="n"/>
      <c r="M206" s="10" t="n"/>
      <c r="N206" s="29" t="n"/>
      <c r="O206" s="29" t="n"/>
      <c r="P206" s="29" t="n"/>
      <c r="Q206" s="10" t="n"/>
      <c r="R206" s="30">
        <f>IF(OR(L206="",L206="N/A"),"",IF(L206="Tidak Ada",0,IF(P206="","",IF(P206="Tidak Sesuai",0,IF(AND(N206="Ya",O206="Ya",P206="Sesuai"),1,0.5)))))</f>
        <v/>
      </c>
      <c r="S206" s="30">
        <f>IF(L206="N/A","N/A",IF(R206="","Belum dinilai",IF(R206=1,"Memenuhi",IF(R206=0,"Tidak Memenuhi","Memenuhi Sebagian"))))</f>
        <v/>
      </c>
      <c r="T206" s="31" t="inlineStr">
        <is>
          <t>1.6-3</t>
        </is>
      </c>
      <c r="U206" s="63">
        <f>IF(COUNT(R206:R208)=0,"",SUM(R206:R208)/COUNT(R206:R208))</f>
        <v/>
      </c>
    </row>
    <row r="207" ht="15" customHeight="1">
      <c r="A207" s="77" t="n"/>
      <c r="B207" s="77" t="n"/>
      <c r="C207" s="77" t="n"/>
      <c r="D207" s="77" t="n"/>
      <c r="E207" s="34" t="inlineStr">
        <is>
          <t>D</t>
        </is>
      </c>
      <c r="F207" s="77" t="n"/>
      <c r="G207" s="77" t="n"/>
      <c r="H207" s="77" t="n"/>
      <c r="I207" s="28" t="n">
        <v>2</v>
      </c>
      <c r="J207" s="62" t="inlineStr">
        <is>
          <t>Rekapitulasi Hasil Kuesioner</t>
        </is>
      </c>
      <c r="K207" s="78" t="inlineStr"/>
      <c r="L207" s="29" t="n"/>
      <c r="M207" s="10" t="n"/>
      <c r="N207" s="29" t="n"/>
      <c r="O207" s="29" t="n"/>
      <c r="P207" s="29" t="n"/>
      <c r="Q207" s="10" t="n"/>
      <c r="R207" s="30">
        <f>IF(OR(L207="",L207="N/A"),"",IF(L207="Tidak Ada",0,IF(P207="","",IF(P207="Tidak Sesuai",0,IF(AND(N207="Ya",O207="Ya",P207="Sesuai"),1,0.5)))))</f>
        <v/>
      </c>
      <c r="S207" s="30">
        <f>IF(L207="N/A","N/A",IF(R207="","Belum dinilai",IF(R207=1,"Memenuhi",IF(R207=0,"Tidak Memenuhi","Memenuhi Sebagian"))))</f>
        <v/>
      </c>
      <c r="T207" s="31" t="inlineStr">
        <is>
          <t>1.6-3</t>
        </is>
      </c>
      <c r="U207" s="77" t="n"/>
    </row>
    <row r="208" ht="27" customHeight="1">
      <c r="A208" s="77" t="n"/>
      <c r="B208" s="77" t="n"/>
      <c r="C208" s="77" t="n"/>
      <c r="D208" s="77" t="n"/>
      <c r="E208" s="34" t="inlineStr">
        <is>
          <t>D</t>
        </is>
      </c>
      <c r="F208" s="79" t="n"/>
      <c r="G208" s="79" t="n"/>
      <c r="H208" s="79" t="n"/>
      <c r="I208" s="28" t="n">
        <v>3</v>
      </c>
      <c r="J208" s="62" t="inlineStr">
        <is>
          <t>Daftar Peserta Sosialisasi/Pelatihan MR</t>
        </is>
      </c>
      <c r="K208" s="78" t="inlineStr"/>
      <c r="L208" s="29" t="n"/>
      <c r="M208" s="10" t="n"/>
      <c r="N208" s="29" t="n"/>
      <c r="O208" s="29" t="n"/>
      <c r="P208" s="29" t="n"/>
      <c r="Q208" s="10" t="n"/>
      <c r="R208" s="30">
        <f>IF(OR(L208="",L208="N/A"),"",IF(L208="Tidak Ada",0,IF(P208="","",IF(P208="Tidak Sesuai",0,IF(AND(N208="Ya",O208="Ya",P208="Sesuai"),1,0.5)))))</f>
        <v/>
      </c>
      <c r="S208" s="30">
        <f>IF(L208="N/A","N/A",IF(R208="","Belum dinilai",IF(R208=1,"Memenuhi",IF(R208=0,"Tidak Memenuhi","Memenuhi Sebagian"))))</f>
        <v/>
      </c>
      <c r="T208" s="31" t="inlineStr">
        <is>
          <t>1.6-3</t>
        </is>
      </c>
      <c r="U208" s="79" t="n"/>
    </row>
    <row r="209" ht="39" customHeight="1">
      <c r="A209" s="77" t="n"/>
      <c r="B209" s="77" t="n"/>
      <c r="C209" s="77" t="n"/>
      <c r="D209" s="77" t="n"/>
      <c r="E209" s="35" t="inlineStr">
        <is>
          <t>E</t>
        </is>
      </c>
      <c r="F209" s="62" t="inlineStr">
        <is>
          <t>E – Kebijakan/Formalitas</t>
        </is>
      </c>
      <c r="G209" s="62" t="inlineStr">
        <is>
          <t>Beberapa pegawai telah memiliki kesadaran pemahaman terkait manajemen risiko</t>
        </is>
      </c>
      <c r="H209" s="62" t="inlineStr">
        <is>
          <t>Organisasi telah memiliki/menetapkan beberapa pegawai telah memiliki kesadaran pemahaman terkait manajemen risiko</t>
        </is>
      </c>
      <c r="I209" s="28" t="n">
        <v>1</v>
      </c>
      <c r="J209" s="62" t="inlineStr">
        <is>
          <t>Hasil Kuesioner/Survei Kesadaran Manajemen Risiko Pegawai</t>
        </is>
      </c>
      <c r="K209" s="78" t="inlineStr"/>
      <c r="L209" s="29" t="inlineStr">
        <is>
          <t>Tidak Ada</t>
        </is>
      </c>
      <c r="M209" s="10" t="n"/>
      <c r="N209" s="29" t="inlineStr">
        <is>
          <t>Tidak</t>
        </is>
      </c>
      <c r="O209" s="29" t="inlineStr">
        <is>
          <t>Tidak</t>
        </is>
      </c>
      <c r="P209" s="29" t="inlineStr">
        <is>
          <t>Tidak Sesuai</t>
        </is>
      </c>
      <c r="Q209" s="66" t="inlineStr">
        <is>
          <t>belum terlaksana</t>
        </is>
      </c>
      <c r="R209" s="30">
        <f>IF(OR(L209="",L209="N/A"),"",IF(L209="Tidak Ada",0,IF(P209="","",IF(P209="Tidak Sesuai",0,IF(AND(N209="Ya",O209="Ya",P209="Sesuai"),1,0.5)))))</f>
        <v/>
      </c>
      <c r="S209" s="30">
        <f>IF(L209="N/A","N/A",IF(R209="","Belum dinilai",IF(R209=1,"Memenuhi",IF(R209=0,"Tidak Memenuhi","Memenuhi Sebagian"))))</f>
        <v/>
      </c>
      <c r="T209" s="31" t="inlineStr">
        <is>
          <t>1.6-3</t>
        </is>
      </c>
      <c r="U209" s="63">
        <f>IF(COUNT(R209:R210)=0,"",SUM(R209:R210)/COUNT(R209:R210))</f>
        <v/>
      </c>
    </row>
    <row r="210" ht="39" customHeight="1">
      <c r="A210" s="79" t="n"/>
      <c r="B210" s="79" t="n"/>
      <c r="C210" s="79" t="n"/>
      <c r="D210" s="79" t="n"/>
      <c r="E210" s="35" t="inlineStr">
        <is>
          <t>E</t>
        </is>
      </c>
      <c r="F210" s="79" t="n"/>
      <c r="G210" s="79" t="n"/>
      <c r="H210" s="79" t="n"/>
      <c r="I210" s="28" t="n">
        <v>2</v>
      </c>
      <c r="J210" s="62" t="inlineStr">
        <is>
          <t>Rekapitulasi Hasil Kuesioner</t>
        </is>
      </c>
      <c r="K210" s="78" t="inlineStr"/>
      <c r="L210" s="29" t="n"/>
      <c r="M210" s="10" t="n"/>
      <c r="N210" s="29" t="n"/>
      <c r="O210" s="29" t="n"/>
      <c r="P210" s="29" t="n"/>
      <c r="Q210" s="10" t="n"/>
      <c r="R210" s="30">
        <f>IF(OR(L210="",L210="N/A"),"",IF(L210="Tidak Ada",0,IF(P210="","",IF(P210="Tidak Sesuai",0,IF(AND(N210="Ya",O210="Ya",P210="Sesuai"),1,0.5)))))</f>
        <v/>
      </c>
      <c r="S210" s="30">
        <f>IF(L210="N/A","N/A",IF(R210="","Belum dinilai",IF(R210=1,"Memenuhi",IF(R210=0,"Tidak Memenuhi","Memenuhi Sebagian"))))</f>
        <v/>
      </c>
      <c r="T210" s="31" t="inlineStr">
        <is>
          <t>1.6-3</t>
        </is>
      </c>
      <c r="U210" s="79" t="n"/>
    </row>
    <row r="211" ht="27" customHeight="1">
      <c r="A211" s="56" t="inlineStr">
        <is>
          <t>1.7</t>
        </is>
      </c>
      <c r="B211" s="57" t="inlineStr">
        <is>
          <t>Perwujudan Peran APIP yang Efektf</t>
        </is>
      </c>
      <c r="C211" s="58" t="n">
        <v>1</v>
      </c>
      <c r="D211" s="59" t="inlineStr">
        <is>
          <t>Pengawasan APIP telah dapat memberikan nilai tambah pada perbaikan pengendalian organisasi</t>
        </is>
      </c>
      <c r="E211" s="21" t="inlineStr">
        <is>
          <t>A</t>
        </is>
      </c>
      <c r="F211" s="60" t="inlineStr">
        <is>
          <t>A – Perbaikan Berkelanjutan</t>
        </is>
      </c>
      <c r="G211" s="60" t="inlineStr">
        <is>
          <t>APIP telah menjadi unit yang terus belajar baik dari dalam maupun dari luar organisasi untuk perbaikan berkelanjutan</t>
        </is>
      </c>
      <c r="H211" s="60" t="inlineStr">
        <is>
          <t>APIP telah menjadi unit yang terus belajar baik dari dalam maupun dari luar organisasi untuk perbaikan berkelanjutan</t>
        </is>
      </c>
      <c r="I211" s="22" t="n">
        <v>1</v>
      </c>
      <c r="J211" s="60" t="inlineStr">
        <is>
          <t>Laporan Evaluasi Kapabilitas APIP/IACM</t>
        </is>
      </c>
      <c r="K211" s="76" t="inlineStr"/>
      <c r="L211" s="23" t="n"/>
      <c r="M211" s="24" t="n"/>
      <c r="N211" s="23" t="n"/>
      <c r="O211" s="23" t="n"/>
      <c r="P211" s="23" t="n"/>
      <c r="Q211" s="24" t="n"/>
      <c r="R211" s="25">
        <f>IF(OR(L211="",L211="N/A"),"",IF(L211="Tidak Ada",0,IF(P211="","",IF(P211="Tidak Sesuai",0,IF(AND(N211="Ya",O211="Ya",P211="Sesuai"),1,0.5)))))</f>
        <v/>
      </c>
      <c r="S211" s="25">
        <f>IF(L211="N/A","N/A",IF(R211="","Belum dinilai",IF(R211=1,"Memenuhi",IF(R211=0,"Tidak Memenuhi","Memenuhi Sebagian"))))</f>
        <v/>
      </c>
      <c r="T211" s="26" t="inlineStr">
        <is>
          <t>1.7-1</t>
        </is>
      </c>
      <c r="U211" s="61">
        <f>IF(COUNT(R211:R216)=0,"",SUM(R211:R216)/COUNT(R211:R216))</f>
        <v/>
      </c>
    </row>
    <row r="212" ht="27" customHeight="1">
      <c r="A212" s="77" t="n"/>
      <c r="B212" s="77" t="n"/>
      <c r="C212" s="77" t="n"/>
      <c r="D212" s="77" t="n"/>
      <c r="E212" s="27" t="inlineStr">
        <is>
          <t>A</t>
        </is>
      </c>
      <c r="F212" s="77" t="n"/>
      <c r="G212" s="77" t="n"/>
      <c r="H212" s="77" t="n"/>
      <c r="I212" s="28" t="n">
        <v>2</v>
      </c>
      <c r="J212" s="62" t="inlineStr">
        <is>
          <t>Rencana Tindak Lanjut Peningkatan Kapabilitas APIP</t>
        </is>
      </c>
      <c r="K212" s="78" t="inlineStr"/>
      <c r="L212" s="29" t="n"/>
      <c r="M212" s="10" t="n"/>
      <c r="N212" s="29" t="n"/>
      <c r="O212" s="29" t="n"/>
      <c r="P212" s="29" t="n"/>
      <c r="Q212" s="10" t="n"/>
      <c r="R212" s="30">
        <f>IF(OR(L212="",L212="N/A"),"",IF(L212="Tidak Ada",0,IF(P212="","",IF(P212="Tidak Sesuai",0,IF(AND(N212="Ya",O212="Ya",P212="Sesuai"),1,0.5)))))</f>
        <v/>
      </c>
      <c r="S212" s="30">
        <f>IF(L212="N/A","N/A",IF(R212="","Belum dinilai",IF(R212=1,"Memenuhi",IF(R212=0,"Tidak Memenuhi","Memenuhi Sebagian"))))</f>
        <v/>
      </c>
      <c r="T212" s="31" t="inlineStr">
        <is>
          <t>1.7-1</t>
        </is>
      </c>
      <c r="U212" s="77" t="n"/>
    </row>
    <row r="213" ht="27" customHeight="1">
      <c r="A213" s="77" t="n"/>
      <c r="B213" s="77" t="n"/>
      <c r="C213" s="77" t="n"/>
      <c r="D213" s="77" t="n"/>
      <c r="E213" s="27" t="inlineStr">
        <is>
          <t>A</t>
        </is>
      </c>
      <c r="F213" s="77" t="n"/>
      <c r="G213" s="77" t="n"/>
      <c r="H213" s="77" t="n"/>
      <c r="I213" s="28" t="n">
        <v>3</v>
      </c>
      <c r="J213" s="62" t="inlineStr">
        <is>
          <t>Laporan Tindak Lanjut Peningkatan Kapabilitas APIP</t>
        </is>
      </c>
      <c r="K213" s="78" t="inlineStr"/>
      <c r="L213" s="29" t="n"/>
      <c r="M213" s="10" t="n"/>
      <c r="N213" s="29" t="n"/>
      <c r="O213" s="29" t="n"/>
      <c r="P213" s="29" t="n"/>
      <c r="Q213" s="10" t="n"/>
      <c r="R213" s="30">
        <f>IF(OR(L213="",L213="N/A"),"",IF(L213="Tidak Ada",0,IF(P213="","",IF(P213="Tidak Sesuai",0,IF(AND(N213="Ya",O213="Ya",P213="Sesuai"),1,0.5)))))</f>
        <v/>
      </c>
      <c r="S213" s="30">
        <f>IF(L213="N/A","N/A",IF(R213="","Belum dinilai",IF(R213=1,"Memenuhi",IF(R213=0,"Tidak Memenuhi","Memenuhi Sebagian"))))</f>
        <v/>
      </c>
      <c r="T213" s="31" t="inlineStr">
        <is>
          <t>1.7-1</t>
        </is>
      </c>
      <c r="U213" s="77" t="n"/>
    </row>
    <row r="214" ht="27" customHeight="1">
      <c r="A214" s="77" t="n"/>
      <c r="B214" s="77" t="n"/>
      <c r="C214" s="77" t="n"/>
      <c r="D214" s="77" t="n"/>
      <c r="E214" s="27" t="inlineStr">
        <is>
          <t>A</t>
        </is>
      </c>
      <c r="F214" s="77" t="n"/>
      <c r="G214" s="77" t="n"/>
      <c r="H214" s="77" t="n"/>
      <c r="I214" s="28" t="n">
        <v>4</v>
      </c>
      <c r="J214" s="62" t="inlineStr">
        <is>
          <t>Hasil Telaahan Sejawat (Peer Review)</t>
        </is>
      </c>
      <c r="K214" s="78" t="inlineStr"/>
      <c r="L214" s="29" t="n"/>
      <c r="M214" s="10" t="n"/>
      <c r="N214" s="29" t="n"/>
      <c r="O214" s="29" t="n"/>
      <c r="P214" s="29" t="n"/>
      <c r="Q214" s="10" t="n"/>
      <c r="R214" s="30">
        <f>IF(OR(L214="",L214="N/A"),"",IF(L214="Tidak Ada",0,IF(P214="","",IF(P214="Tidak Sesuai",0,IF(AND(N214="Ya",O214="Ya",P214="Sesuai"),1,0.5)))))</f>
        <v/>
      </c>
      <c r="S214" s="30">
        <f>IF(L214="N/A","N/A",IF(R214="","Belum dinilai",IF(R214=1,"Memenuhi",IF(R214=0,"Tidak Memenuhi","Memenuhi Sebagian"))))</f>
        <v/>
      </c>
      <c r="T214" s="31" t="inlineStr">
        <is>
          <t>1.7-1</t>
        </is>
      </c>
      <c r="U214" s="77" t="n"/>
    </row>
    <row r="215" ht="27" customHeight="1">
      <c r="A215" s="77" t="n"/>
      <c r="B215" s="77" t="n"/>
      <c r="C215" s="77" t="n"/>
      <c r="D215" s="77" t="n"/>
      <c r="E215" s="27" t="inlineStr">
        <is>
          <t>A</t>
        </is>
      </c>
      <c r="F215" s="77" t="n"/>
      <c r="G215" s="77" t="n"/>
      <c r="H215" s="77" t="n"/>
      <c r="I215" s="28" t="n">
        <v>5</v>
      </c>
      <c r="J215" s="62" t="inlineStr">
        <is>
          <t>Dokumen Benchmarking/Studi Tiru APIP, jika ada</t>
        </is>
      </c>
      <c r="K215" s="78" t="inlineStr"/>
      <c r="L215" s="29" t="n"/>
      <c r="M215" s="10" t="n"/>
      <c r="N215" s="29" t="n"/>
      <c r="O215" s="29" t="n"/>
      <c r="P215" s="29" t="n"/>
      <c r="Q215" s="10" t="n"/>
      <c r="R215" s="30">
        <f>IF(OR(L215="",L215="N/A"),"",IF(L215="Tidak Ada",0,IF(P215="","",IF(P215="Tidak Sesuai",0,IF(AND(N215="Ya",O215="Ya",P215="Sesuai"),1,0.5)))))</f>
        <v/>
      </c>
      <c r="S215" s="30">
        <f>IF(L215="N/A","N/A",IF(R215="","Belum dinilai",IF(R215=1,"Memenuhi",IF(R215=0,"Tidak Memenuhi","Memenuhi Sebagian"))))</f>
        <v/>
      </c>
      <c r="T215" s="31" t="inlineStr">
        <is>
          <t>1.7-1</t>
        </is>
      </c>
      <c r="U215" s="77" t="n"/>
    </row>
    <row r="216" ht="39" customHeight="1">
      <c r="A216" s="77" t="n"/>
      <c r="B216" s="77" t="n"/>
      <c r="C216" s="77" t="n"/>
      <c r="D216" s="77" t="n"/>
      <c r="E216" s="27" t="inlineStr">
        <is>
          <t>A</t>
        </is>
      </c>
      <c r="F216" s="79" t="n"/>
      <c r="G216" s="79" t="n"/>
      <c r="H216" s="79" t="n"/>
      <c r="I216" s="28" t="n">
        <v>6</v>
      </c>
      <c r="J216" s="62" t="inlineStr">
        <is>
          <t>Dokumen inovasi/perbaikan metode pengawasan berdasarkan hasil evaluasi/lesson learned</t>
        </is>
      </c>
      <c r="K216" s="78" t="inlineStr"/>
      <c r="L216" s="29" t="n"/>
      <c r="M216" s="10" t="n"/>
      <c r="N216" s="29" t="n"/>
      <c r="O216" s="29" t="n"/>
      <c r="P216" s="29" t="n"/>
      <c r="Q216" s="10" t="n"/>
      <c r="R216" s="30">
        <f>IF(OR(L216="",L216="N/A"),"",IF(L216="Tidak Ada",0,IF(P216="","",IF(P216="Tidak Sesuai",0,IF(AND(N216="Ya",O216="Ya",P216="Sesuai"),1,0.5)))))</f>
        <v/>
      </c>
      <c r="S216" s="30">
        <f>IF(L216="N/A","N/A",IF(R216="","Belum dinilai",IF(R216=1,"Memenuhi",IF(R216=0,"Tidak Memenuhi","Memenuhi Sebagian"))))</f>
        <v/>
      </c>
      <c r="T216" s="31" t="inlineStr">
        <is>
          <t>1.7-1</t>
        </is>
      </c>
      <c r="U216" s="79" t="n"/>
    </row>
    <row r="217" ht="15" customHeight="1">
      <c r="A217" s="77" t="n"/>
      <c r="B217" s="77" t="n"/>
      <c r="C217" s="77" t="n"/>
      <c r="D217" s="77" t="n"/>
      <c r="E217" s="32" t="inlineStr">
        <is>
          <t>B</t>
        </is>
      </c>
      <c r="F217" s="62" t="inlineStr">
        <is>
          <t>B – Evaluasi &amp; Tindak Lanjut</t>
        </is>
      </c>
      <c r="G217" s="62" t="inlineStr">
        <is>
          <t>APIP telah mengintegrasikan semua informasi di seluruh organisasi untuk memperbaiki tata kelola dan manajemen risiko</t>
        </is>
      </c>
      <c r="H217" s="62" t="inlineStr">
        <is>
          <t>APIP telah mengintegrasikan semua informasi di seluruh organisasi untuk memperbaiki tata kelola dan manajemen risiko</t>
        </is>
      </c>
      <c r="I217" s="28" t="n">
        <v>1</v>
      </c>
      <c r="J217" s="62" t="inlineStr">
        <is>
          <t>PKPT berbasis risiko</t>
        </is>
      </c>
      <c r="K217" s="78" t="inlineStr"/>
      <c r="L217" s="29" t="n"/>
      <c r="M217" s="10" t="n"/>
      <c r="N217" s="29" t="n"/>
      <c r="O217" s="29" t="n"/>
      <c r="P217" s="29" t="n"/>
      <c r="Q217" s="10" t="n"/>
      <c r="R217" s="30">
        <f>IF(OR(L217="",L217="N/A"),"",IF(L217="Tidak Ada",0,IF(P217="","",IF(P217="Tidak Sesuai",0,IF(AND(N217="Ya",O217="Ya",P217="Sesuai"),1,0.5)))))</f>
        <v/>
      </c>
      <c r="S217" s="30">
        <f>IF(L217="N/A","N/A",IF(R217="","Belum dinilai",IF(R217=1,"Memenuhi",IF(R217=0,"Tidak Memenuhi","Memenuhi Sebagian"))))</f>
        <v/>
      </c>
      <c r="T217" s="31" t="inlineStr">
        <is>
          <t>1.7-1</t>
        </is>
      </c>
      <c r="U217" s="63">
        <f>IF(COUNT(R217:R222)=0,"",SUM(R217:R222)/COUNT(R217:R222))</f>
        <v/>
      </c>
    </row>
    <row r="218" ht="27" customHeight="1">
      <c r="A218" s="77" t="n"/>
      <c r="B218" s="77" t="n"/>
      <c r="C218" s="77" t="n"/>
      <c r="D218" s="77" t="n"/>
      <c r="E218" s="32" t="inlineStr">
        <is>
          <t>B</t>
        </is>
      </c>
      <c r="F218" s="77" t="n"/>
      <c r="G218" s="77" t="n"/>
      <c r="H218" s="77" t="n"/>
      <c r="I218" s="28" t="n">
        <v>2</v>
      </c>
      <c r="J218" s="62" t="inlineStr">
        <is>
          <t>Risk Register/Profil Risiko Pemerintah Daerah yang digunakan APIP</t>
        </is>
      </c>
      <c r="K218" s="78" t="inlineStr"/>
      <c r="L218" s="29" t="n"/>
      <c r="M218" s="10" t="n"/>
      <c r="N218" s="29" t="n"/>
      <c r="O218" s="29" t="n"/>
      <c r="P218" s="29" t="n"/>
      <c r="Q218" s="10" t="n"/>
      <c r="R218" s="30">
        <f>IF(OR(L218="",L218="N/A"),"",IF(L218="Tidak Ada",0,IF(P218="","",IF(P218="Tidak Sesuai",0,IF(AND(N218="Ya",O218="Ya",P218="Sesuai"),1,0.5)))))</f>
        <v/>
      </c>
      <c r="S218" s="30">
        <f>IF(L218="N/A","N/A",IF(R218="","Belum dinilai",IF(R218=1,"Memenuhi",IF(R218=0,"Tidak Memenuhi","Memenuhi Sebagian"))))</f>
        <v/>
      </c>
      <c r="T218" s="31" t="inlineStr">
        <is>
          <t>1.7-1</t>
        </is>
      </c>
      <c r="U218" s="77" t="n"/>
    </row>
    <row r="219" ht="27" customHeight="1">
      <c r="A219" s="77" t="n"/>
      <c r="B219" s="77" t="n"/>
      <c r="C219" s="77" t="n"/>
      <c r="D219" s="77" t="n"/>
      <c r="E219" s="32" t="inlineStr">
        <is>
          <t>B</t>
        </is>
      </c>
      <c r="F219" s="77" t="n"/>
      <c r="G219" s="77" t="n"/>
      <c r="H219" s="77" t="n"/>
      <c r="I219" s="28" t="n">
        <v>3</v>
      </c>
      <c r="J219" s="62" t="inlineStr">
        <is>
          <t>Hasil Penilaian Risiko sebagai dasar penyusunan PKPT</t>
        </is>
      </c>
      <c r="K219" s="78" t="inlineStr"/>
      <c r="L219" s="29" t="n"/>
      <c r="M219" s="10" t="n"/>
      <c r="N219" s="29" t="n"/>
      <c r="O219" s="29" t="n"/>
      <c r="P219" s="29" t="n"/>
      <c r="Q219" s="10" t="n"/>
      <c r="R219" s="30">
        <f>IF(OR(L219="",L219="N/A"),"",IF(L219="Tidak Ada",0,IF(P219="","",IF(P219="Tidak Sesuai",0,IF(AND(N219="Ya",O219="Ya",P219="Sesuai"),1,0.5)))))</f>
        <v/>
      </c>
      <c r="S219" s="30">
        <f>IF(L219="N/A","N/A",IF(R219="","Belum dinilai",IF(R219=1,"Memenuhi",IF(R219=0,"Tidak Memenuhi","Memenuhi Sebagian"))))</f>
        <v/>
      </c>
      <c r="T219" s="31" t="inlineStr">
        <is>
          <t>1.7-1</t>
        </is>
      </c>
      <c r="U219" s="77" t="n"/>
    </row>
    <row r="220" ht="39" customHeight="1">
      <c r="A220" s="77" t="n"/>
      <c r="B220" s="77" t="n"/>
      <c r="C220" s="77" t="n"/>
      <c r="D220" s="77" t="n"/>
      <c r="E220" s="32" t="inlineStr">
        <is>
          <t>B</t>
        </is>
      </c>
      <c r="F220" s="77" t="n"/>
      <c r="G220" s="77" t="n"/>
      <c r="H220" s="77" t="n"/>
      <c r="I220" s="28" t="n">
        <v>4</v>
      </c>
      <c r="J220" s="62" t="inlineStr">
        <is>
          <t>Laporan Hasil Pengawasan yang memuat perbaikan tata kelola/manajemen risiko</t>
        </is>
      </c>
      <c r="K220" s="78" t="inlineStr"/>
      <c r="L220" s="29" t="n"/>
      <c r="M220" s="10" t="n"/>
      <c r="N220" s="29" t="n"/>
      <c r="O220" s="29" t="n"/>
      <c r="P220" s="29" t="n"/>
      <c r="Q220" s="10" t="n"/>
      <c r="R220" s="30">
        <f>IF(OR(L220="",L220="N/A"),"",IF(L220="Tidak Ada",0,IF(P220="","",IF(P220="Tidak Sesuai",0,IF(AND(N220="Ya",O220="Ya",P220="Sesuai"),1,0.5)))))</f>
        <v/>
      </c>
      <c r="S220" s="30">
        <f>IF(L220="N/A","N/A",IF(R220="","Belum dinilai",IF(R220=1,"Memenuhi",IF(R220=0,"Tidak Memenuhi","Memenuhi Sebagian"))))</f>
        <v/>
      </c>
      <c r="T220" s="31" t="inlineStr">
        <is>
          <t>1.7-1</t>
        </is>
      </c>
      <c r="U220" s="77" t="n"/>
    </row>
    <row r="221" ht="27" customHeight="1">
      <c r="A221" s="77" t="n"/>
      <c r="B221" s="77" t="n"/>
      <c r="C221" s="77" t="n"/>
      <c r="D221" s="77" t="n"/>
      <c r="E221" s="32" t="inlineStr">
        <is>
          <t>B</t>
        </is>
      </c>
      <c r="F221" s="77" t="n"/>
      <c r="G221" s="77" t="n"/>
      <c r="H221" s="77" t="n"/>
      <c r="I221" s="28" t="n">
        <v>5</v>
      </c>
      <c r="J221" s="62" t="inlineStr">
        <is>
          <t>Database hasil pengawasan/temuan dan tindak lanjut</t>
        </is>
      </c>
      <c r="K221" s="78" t="inlineStr"/>
      <c r="L221" s="29" t="n"/>
      <c r="M221" s="10" t="n"/>
      <c r="N221" s="29" t="n"/>
      <c r="O221" s="29" t="n"/>
      <c r="P221" s="29" t="n"/>
      <c r="Q221" s="10" t="n"/>
      <c r="R221" s="30">
        <f>IF(OR(L221="",L221="N/A"),"",IF(L221="Tidak Ada",0,IF(P221="","",IF(P221="Tidak Sesuai",0,IF(AND(N221="Ya",O221="Ya",P221="Sesuai"),1,0.5)))))</f>
        <v/>
      </c>
      <c r="S221" s="30">
        <f>IF(L221="N/A","N/A",IF(R221="","Belum dinilai",IF(R221=1,"Memenuhi",IF(R221=0,"Tidak Memenuhi","Memenuhi Sebagian"))))</f>
        <v/>
      </c>
      <c r="T221" s="31" t="inlineStr">
        <is>
          <t>1.7-1</t>
        </is>
      </c>
      <c r="U221" s="77" t="n"/>
    </row>
    <row r="222" ht="27" customHeight="1">
      <c r="A222" s="77" t="n"/>
      <c r="B222" s="77" t="n"/>
      <c r="C222" s="77" t="n"/>
      <c r="D222" s="77" t="n"/>
      <c r="E222" s="32" t="inlineStr">
        <is>
          <t>B</t>
        </is>
      </c>
      <c r="F222" s="79" t="n"/>
      <c r="G222" s="79" t="n"/>
      <c r="H222" s="79" t="n"/>
      <c r="I222" s="28" t="n">
        <v>6</v>
      </c>
      <c r="J222" s="62" t="inlineStr">
        <is>
          <t>Laporan Pemantauan Tindak Lanjut Hasil Pengawasan</t>
        </is>
      </c>
      <c r="K222" s="78" t="inlineStr"/>
      <c r="L222" s="29" t="n"/>
      <c r="M222" s="10" t="n"/>
      <c r="N222" s="29" t="n"/>
      <c r="O222" s="29" t="n"/>
      <c r="P222" s="29" t="n"/>
      <c r="Q222" s="10" t="n"/>
      <c r="R222" s="30">
        <f>IF(OR(L222="",L222="N/A"),"",IF(L222="Tidak Ada",0,IF(P222="","",IF(P222="Tidak Sesuai",0,IF(AND(N222="Ya",O222="Ya",P222="Sesuai"),1,0.5)))))</f>
        <v/>
      </c>
      <c r="S222" s="30">
        <f>IF(L222="N/A","N/A",IF(R222="","Belum dinilai",IF(R222=1,"Memenuhi",IF(R222=0,"Tidak Memenuhi","Memenuhi Sebagian"))))</f>
        <v/>
      </c>
      <c r="T222" s="31" t="inlineStr">
        <is>
          <t>1.7-1</t>
        </is>
      </c>
      <c r="U222" s="79" t="n"/>
    </row>
    <row r="223" ht="27" customHeight="1">
      <c r="A223" s="77" t="n"/>
      <c r="B223" s="77" t="n"/>
      <c r="C223" s="77" t="n"/>
      <c r="D223" s="77" t="n"/>
      <c r="E223" s="33" t="inlineStr">
        <is>
          <t>C</t>
        </is>
      </c>
      <c r="F223" s="62" t="inlineStr">
        <is>
          <t>C – Implementasi</t>
        </is>
      </c>
      <c r="G223" s="62" t="inlineStr">
        <is>
          <t>Praktik profesional dan audit internal telah ditetapkan secara seragam</t>
        </is>
      </c>
      <c r="H223" s="62" t="inlineStr">
        <is>
          <t>Praktik profesional dan audit internal telah ditetapkan secara seragam</t>
        </is>
      </c>
      <c r="I223" s="28" t="n">
        <v>1</v>
      </c>
      <c r="J223" s="62" t="inlineStr">
        <is>
          <t>Piagam Audit Intern (Audit Charter)</t>
        </is>
      </c>
      <c r="K223" s="78" t="inlineStr"/>
      <c r="L223" s="29" t="inlineStr">
        <is>
          <t>Ada</t>
        </is>
      </c>
      <c r="M223" s="66" t="inlineStr">
        <is>
          <t>PAI</t>
        </is>
      </c>
      <c r="N223" s="29" t="inlineStr">
        <is>
          <t>Ya</t>
        </is>
      </c>
      <c r="O223" s="29" t="inlineStr">
        <is>
          <t>Ya</t>
        </is>
      </c>
      <c r="P223" s="29" t="inlineStr">
        <is>
          <t>Sesuai</t>
        </is>
      </c>
      <c r="Q223" s="10" t="n"/>
      <c r="R223" s="30">
        <f>IF(OR(L223="",L223="N/A"),"",IF(L223="Tidak Ada",0,IF(P223="","",IF(P223="Tidak Sesuai",0,IF(AND(N223="Ya",O223="Ya",P223="Sesuai"),1,0.5)))))</f>
        <v/>
      </c>
      <c r="S223" s="30">
        <f>IF(L223="N/A","N/A",IF(R223="","Belum dinilai",IF(R223=1,"Memenuhi",IF(R223=0,"Tidak Memenuhi","Memenuhi Sebagian"))))</f>
        <v/>
      </c>
      <c r="T223" s="31" t="inlineStr">
        <is>
          <t>1.7-1</t>
        </is>
      </c>
      <c r="U223" s="63">
        <f>IF(COUNT(R223:R229)=0,"",SUM(R223:R229)/COUNT(R223:R229))</f>
        <v/>
      </c>
    </row>
    <row r="224" ht="15" customHeight="1">
      <c r="A224" s="77" t="n"/>
      <c r="B224" s="77" t="n"/>
      <c r="C224" s="77" t="n"/>
      <c r="D224" s="77" t="n"/>
      <c r="E224" s="33" t="inlineStr">
        <is>
          <t>C</t>
        </is>
      </c>
      <c r="F224" s="77" t="n"/>
      <c r="G224" s="77" t="n"/>
      <c r="H224" s="77" t="n"/>
      <c r="I224" s="28" t="n">
        <v>2</v>
      </c>
      <c r="J224" s="62" t="inlineStr">
        <is>
          <t>Pedoman/Standar Audit Intern APIP</t>
        </is>
      </c>
      <c r="K224" s="78" t="inlineStr"/>
      <c r="L224" s="29" t="inlineStr">
        <is>
          <t>Ada</t>
        </is>
      </c>
      <c r="M224" s="66" t="inlineStr">
        <is>
          <t>SAIPI Tahun 2021</t>
        </is>
      </c>
      <c r="N224" s="29" t="inlineStr">
        <is>
          <t>Ya</t>
        </is>
      </c>
      <c r="O224" s="29" t="inlineStr">
        <is>
          <t>Ya</t>
        </is>
      </c>
      <c r="P224" s="29" t="inlineStr">
        <is>
          <t>Sesuai</t>
        </is>
      </c>
      <c r="Q224" s="10" t="n"/>
      <c r="R224" s="30">
        <f>IF(OR(L224="",L224="N/A"),"",IF(L224="Tidak Ada",0,IF(P224="","",IF(P224="Tidak Sesuai",0,IF(AND(N224="Ya",O224="Ya",P224="Sesuai"),1,0.5)))))</f>
        <v/>
      </c>
      <c r="S224" s="30">
        <f>IF(L224="N/A","N/A",IF(R224="","Belum dinilai",IF(R224=1,"Memenuhi",IF(R224=0,"Tidak Memenuhi","Memenuhi Sebagian"))))</f>
        <v/>
      </c>
      <c r="T224" s="31" t="inlineStr">
        <is>
          <t>1.7-1</t>
        </is>
      </c>
      <c r="U224" s="77" t="n"/>
    </row>
    <row r="225" ht="27" customHeight="1">
      <c r="A225" s="77" t="n"/>
      <c r="B225" s="77" t="n"/>
      <c r="C225" s="77" t="n"/>
      <c r="D225" s="77" t="n"/>
      <c r="E225" s="33" t="inlineStr">
        <is>
          <t>C</t>
        </is>
      </c>
      <c r="F225" s="77" t="n"/>
      <c r="G225" s="77" t="n"/>
      <c r="H225" s="77" t="n"/>
      <c r="I225" s="28" t="n">
        <v>3</v>
      </c>
      <c r="J225" s="62" t="inlineStr">
        <is>
          <t>SOP/Pedoman Pelaksanaan Pengawasan</t>
        </is>
      </c>
      <c r="K225" s="78" t="inlineStr"/>
      <c r="L225" s="29" t="n"/>
      <c r="M225" s="10" t="n"/>
      <c r="N225" s="29" t="n"/>
      <c r="O225" s="29" t="n"/>
      <c r="P225" s="29" t="n"/>
      <c r="Q225" s="10" t="n"/>
      <c r="R225" s="30">
        <f>IF(OR(L225="",L225="N/A"),"",IF(L225="Tidak Ada",0,IF(P225="","",IF(P225="Tidak Sesuai",0,IF(AND(N225="Ya",O225="Ya",P225="Sesuai"),1,0.5)))))</f>
        <v/>
      </c>
      <c r="S225" s="30">
        <f>IF(L225="N/A","N/A",IF(R225="","Belum dinilai",IF(R225=1,"Memenuhi",IF(R225=0,"Tidak Memenuhi","Memenuhi Sebagian"))))</f>
        <v/>
      </c>
      <c r="T225" s="31" t="inlineStr">
        <is>
          <t>1.7-1</t>
        </is>
      </c>
      <c r="U225" s="77" t="n"/>
    </row>
    <row r="226" ht="15" customHeight="1">
      <c r="A226" s="77" t="n"/>
      <c r="B226" s="77" t="n"/>
      <c r="C226" s="77" t="n"/>
      <c r="D226" s="77" t="n"/>
      <c r="E226" s="33" t="inlineStr">
        <is>
          <t>C</t>
        </is>
      </c>
      <c r="F226" s="77" t="n"/>
      <c r="G226" s="77" t="n"/>
      <c r="H226" s="77" t="n"/>
      <c r="I226" s="28" t="n">
        <v>4</v>
      </c>
      <c r="J226" s="62" t="inlineStr">
        <is>
          <t>Program Kerja Pengawasan/Audit</t>
        </is>
      </c>
      <c r="K226" s="78" t="inlineStr"/>
      <c r="L226" s="29" t="n"/>
      <c r="M226" s="10" t="n"/>
      <c r="N226" s="29" t="n"/>
      <c r="O226" s="29" t="n"/>
      <c r="P226" s="29" t="n"/>
      <c r="Q226" s="10" t="n"/>
      <c r="R226" s="30">
        <f>IF(OR(L226="",L226="N/A"),"",IF(L226="Tidak Ada",0,IF(P226="","",IF(P226="Tidak Sesuai",0,IF(AND(N226="Ya",O226="Ya",P226="Sesuai"),1,0.5)))))</f>
        <v/>
      </c>
      <c r="S226" s="30">
        <f>IF(L226="N/A","N/A",IF(R226="","Belum dinilai",IF(R226=1,"Memenuhi",IF(R226=0,"Tidak Memenuhi","Memenuhi Sebagian"))))</f>
        <v/>
      </c>
      <c r="T226" s="31" t="inlineStr">
        <is>
          <t>1.7-1</t>
        </is>
      </c>
      <c r="U226" s="77" t="n"/>
    </row>
    <row r="227" ht="15" customHeight="1">
      <c r="A227" s="77" t="n"/>
      <c r="B227" s="77" t="n"/>
      <c r="C227" s="77" t="n"/>
      <c r="D227" s="77" t="n"/>
      <c r="E227" s="33" t="inlineStr">
        <is>
          <t>C</t>
        </is>
      </c>
      <c r="F227" s="77" t="n"/>
      <c r="G227" s="77" t="n"/>
      <c r="H227" s="77" t="n"/>
      <c r="I227" s="28" t="n">
        <v>5</v>
      </c>
      <c r="J227" s="62" t="inlineStr">
        <is>
          <t>Kertas Kerja Audit/Pengawasan</t>
        </is>
      </c>
      <c r="K227" s="78" t="inlineStr"/>
      <c r="L227" s="29" t="n"/>
      <c r="M227" s="10" t="n"/>
      <c r="N227" s="29" t="n"/>
      <c r="O227" s="29" t="n"/>
      <c r="P227" s="29" t="n"/>
      <c r="Q227" s="10" t="n"/>
      <c r="R227" s="30">
        <f>IF(OR(L227="",L227="N/A"),"",IF(L227="Tidak Ada",0,IF(P227="","",IF(P227="Tidak Sesuai",0,IF(AND(N227="Ya",O227="Ya",P227="Sesuai"),1,0.5)))))</f>
        <v/>
      </c>
      <c r="S227" s="30">
        <f>IF(L227="N/A","N/A",IF(R227="","Belum dinilai",IF(R227=1,"Memenuhi",IF(R227=0,"Tidak Memenuhi","Memenuhi Sebagian"))))</f>
        <v/>
      </c>
      <c r="T227" s="31" t="inlineStr">
        <is>
          <t>1.7-1</t>
        </is>
      </c>
      <c r="U227" s="77" t="n"/>
    </row>
    <row r="228" ht="15" customHeight="1">
      <c r="A228" s="77" t="n"/>
      <c r="B228" s="77" t="n"/>
      <c r="C228" s="77" t="n"/>
      <c r="D228" s="77" t="n"/>
      <c r="E228" s="33" t="inlineStr">
        <is>
          <t>C</t>
        </is>
      </c>
      <c r="F228" s="77" t="n"/>
      <c r="G228" s="77" t="n"/>
      <c r="H228" s="77" t="n"/>
      <c r="I228" s="28" t="n">
        <v>6</v>
      </c>
      <c r="J228" s="62" t="inlineStr">
        <is>
          <t>Laporan Hasil Pengawasan (LHP)</t>
        </is>
      </c>
      <c r="K228" s="78" t="inlineStr"/>
      <c r="L228" s="29" t="n"/>
      <c r="M228" s="10" t="n"/>
      <c r="N228" s="29" t="n"/>
      <c r="O228" s="29" t="n"/>
      <c r="P228" s="29" t="n"/>
      <c r="Q228" s="10" t="n"/>
      <c r="R228" s="30">
        <f>IF(OR(L228="",L228="N/A"),"",IF(L228="Tidak Ada",0,IF(P228="","",IF(P228="Tidak Sesuai",0,IF(AND(N228="Ya",O228="Ya",P228="Sesuai"),1,0.5)))))</f>
        <v/>
      </c>
      <c r="S228" s="30">
        <f>IF(L228="N/A","N/A",IF(R228="","Belum dinilai",IF(R228=1,"Memenuhi",IF(R228=0,"Tidak Memenuhi","Memenuhi Sebagian"))))</f>
        <v/>
      </c>
      <c r="T228" s="31" t="inlineStr">
        <is>
          <t>1.7-1</t>
        </is>
      </c>
      <c r="U228" s="77" t="n"/>
    </row>
    <row r="229" ht="27" customHeight="1">
      <c r="A229" s="77" t="n"/>
      <c r="B229" s="77" t="n"/>
      <c r="C229" s="77" t="n"/>
      <c r="D229" s="77" t="n"/>
      <c r="E229" s="33" t="inlineStr">
        <is>
          <t>C</t>
        </is>
      </c>
      <c r="F229" s="79" t="n"/>
      <c r="G229" s="79" t="n"/>
      <c r="H229" s="79" t="n"/>
      <c r="I229" s="28" t="n">
        <v>7</v>
      </c>
      <c r="J229" s="62" t="inlineStr">
        <is>
          <t>Dokumen Reviu Berjenjang/Quality Assurance, jika ada</t>
        </is>
      </c>
      <c r="K229" s="78" t="inlineStr"/>
      <c r="L229" s="29" t="n"/>
      <c r="M229" s="10" t="n"/>
      <c r="N229" s="29" t="n"/>
      <c r="O229" s="29" t="n"/>
      <c r="P229" s="29" t="n"/>
      <c r="Q229" s="10" t="n"/>
      <c r="R229" s="30">
        <f>IF(OR(L229="",L229="N/A"),"",IF(L229="Tidak Ada",0,IF(P229="","",IF(P229="Tidak Sesuai",0,IF(AND(N229="Ya",O229="Ya",P229="Sesuai"),1,0.5)))))</f>
        <v/>
      </c>
      <c r="S229" s="30">
        <f>IF(L229="N/A","N/A",IF(R229="","Belum dinilai",IF(R229=1,"Memenuhi",IF(R229=0,"Tidak Memenuhi","Memenuhi Sebagian"))))</f>
        <v/>
      </c>
      <c r="T229" s="31" t="inlineStr">
        <is>
          <t>1.7-1</t>
        </is>
      </c>
      <c r="U229" s="79" t="n"/>
    </row>
    <row r="230" ht="27" customHeight="1">
      <c r="A230" s="77" t="n"/>
      <c r="B230" s="77" t="n"/>
      <c r="C230" s="77" t="n"/>
      <c r="D230" s="77" t="n"/>
      <c r="E230" s="34" t="inlineStr">
        <is>
          <t>D</t>
        </is>
      </c>
      <c r="F230" s="62" t="inlineStr">
        <is>
          <t>D – Komunikasi &amp; Pemahaman</t>
        </is>
      </c>
      <c r="G230" s="62" t="inlineStr">
        <is>
          <t>Proses audit dilakukan secara tetap (rutin) dan berulang</t>
        </is>
      </c>
      <c r="H230" s="62" t="inlineStr">
        <is>
          <t>Proses audit dilakukan secara tetap (rutin) dan berulang</t>
        </is>
      </c>
      <c r="I230" s="28" t="n">
        <v>1</v>
      </c>
      <c r="J230" s="62" t="inlineStr">
        <is>
          <t>PKPT (Program Kerja Pengawasan Tahunan)</t>
        </is>
      </c>
      <c r="K230" s="78" t="inlineStr"/>
      <c r="L230" s="29" t="n"/>
      <c r="M230" s="10" t="n"/>
      <c r="N230" s="29" t="n"/>
      <c r="O230" s="29" t="n"/>
      <c r="P230" s="29" t="n"/>
      <c r="Q230" s="10" t="n"/>
      <c r="R230" s="30">
        <f>IF(OR(L230="",L230="N/A"),"",IF(L230="Tidak Ada",0,IF(P230="","",IF(P230="Tidak Sesuai",0,IF(AND(N230="Ya",O230="Ya",P230="Sesuai"),1,0.5)))))</f>
        <v/>
      </c>
      <c r="S230" s="30">
        <f>IF(L230="N/A","N/A",IF(R230="","Belum dinilai",IF(R230=1,"Memenuhi",IF(R230=0,"Tidak Memenuhi","Memenuhi Sebagian"))))</f>
        <v/>
      </c>
      <c r="T230" s="31" t="inlineStr">
        <is>
          <t>1.7-1</t>
        </is>
      </c>
      <c r="U230" s="63">
        <f>IF(COUNT(R230:R234)=0,"",SUM(R230:R234)/COUNT(R230:R234))</f>
        <v/>
      </c>
    </row>
    <row r="231" ht="15" customHeight="1">
      <c r="A231" s="77" t="n"/>
      <c r="B231" s="77" t="n"/>
      <c r="C231" s="77" t="n"/>
      <c r="D231" s="77" t="n"/>
      <c r="E231" s="34" t="inlineStr">
        <is>
          <t>D</t>
        </is>
      </c>
      <c r="F231" s="77" t="n"/>
      <c r="G231" s="77" t="n"/>
      <c r="H231" s="77" t="n"/>
      <c r="I231" s="28" t="n">
        <v>2</v>
      </c>
      <c r="J231" s="62" t="inlineStr">
        <is>
          <t>Surat Tugas Pengawasan</t>
        </is>
      </c>
      <c r="K231" s="78" t="inlineStr"/>
      <c r="L231" s="29" t="n"/>
      <c r="M231" s="10" t="n"/>
      <c r="N231" s="29" t="n"/>
      <c r="O231" s="29" t="n"/>
      <c r="P231" s="29" t="n"/>
      <c r="Q231" s="10" t="n"/>
      <c r="R231" s="30">
        <f>IF(OR(L231="",L231="N/A"),"",IF(L231="Tidak Ada",0,IF(P231="","",IF(P231="Tidak Sesuai",0,IF(AND(N231="Ya",O231="Ya",P231="Sesuai"),1,0.5)))))</f>
        <v/>
      </c>
      <c r="S231" s="30">
        <f>IF(L231="N/A","N/A",IF(R231="","Belum dinilai",IF(R231=1,"Memenuhi",IF(R231=0,"Tidak Memenuhi","Memenuhi Sebagian"))))</f>
        <v/>
      </c>
      <c r="T231" s="31" t="inlineStr">
        <is>
          <t>1.7-1</t>
        </is>
      </c>
      <c r="U231" s="77" t="n"/>
    </row>
    <row r="232" ht="27" customHeight="1">
      <c r="A232" s="77" t="n"/>
      <c r="B232" s="77" t="n"/>
      <c r="C232" s="77" t="n"/>
      <c r="D232" s="77" t="n"/>
      <c r="E232" s="34" t="inlineStr">
        <is>
          <t>D</t>
        </is>
      </c>
      <c r="F232" s="77" t="n"/>
      <c r="G232" s="77" t="n"/>
      <c r="H232" s="77" t="n"/>
      <c r="I232" s="28" t="n">
        <v>3</v>
      </c>
      <c r="J232" s="62" t="inlineStr">
        <is>
          <t>Program Kerja Audit/Pengawasan (PKA)</t>
        </is>
      </c>
      <c r="K232" s="78" t="inlineStr"/>
      <c r="L232" s="29" t="n"/>
      <c r="M232" s="10" t="n"/>
      <c r="N232" s="29" t="n"/>
      <c r="O232" s="29" t="n"/>
      <c r="P232" s="29" t="n"/>
      <c r="Q232" s="10" t="n"/>
      <c r="R232" s="30">
        <f>IF(OR(L232="",L232="N/A"),"",IF(L232="Tidak Ada",0,IF(P232="","",IF(P232="Tidak Sesuai",0,IF(AND(N232="Ya",O232="Ya",P232="Sesuai"),1,0.5)))))</f>
        <v/>
      </c>
      <c r="S232" s="30">
        <f>IF(L232="N/A","N/A",IF(R232="","Belum dinilai",IF(R232=1,"Memenuhi",IF(R232=0,"Tidak Memenuhi","Memenuhi Sebagian"))))</f>
        <v/>
      </c>
      <c r="T232" s="31" t="inlineStr">
        <is>
          <t>1.7-1</t>
        </is>
      </c>
      <c r="U232" s="77" t="n"/>
    </row>
    <row r="233" ht="27" customHeight="1">
      <c r="A233" s="77" t="n"/>
      <c r="B233" s="77" t="n"/>
      <c r="C233" s="77" t="n"/>
      <c r="D233" s="77" t="n"/>
      <c r="E233" s="34" t="inlineStr">
        <is>
          <t>D</t>
        </is>
      </c>
      <c r="F233" s="77" t="n"/>
      <c r="G233" s="77" t="n"/>
      <c r="H233" s="77" t="n"/>
      <c r="I233" s="28" t="n">
        <v>4</v>
      </c>
      <c r="J233" s="62" t="inlineStr">
        <is>
          <t>Kertas Kerja Pengawasan (Kertas Kerja)</t>
        </is>
      </c>
      <c r="K233" s="78" t="inlineStr"/>
      <c r="L233" s="29" t="n"/>
      <c r="M233" s="10" t="n"/>
      <c r="N233" s="29" t="n"/>
      <c r="O233" s="29" t="n"/>
      <c r="P233" s="29" t="n"/>
      <c r="Q233" s="10" t="n"/>
      <c r="R233" s="30">
        <f>IF(OR(L233="",L233="N/A"),"",IF(L233="Tidak Ada",0,IF(P233="","",IF(P233="Tidak Sesuai",0,IF(AND(N233="Ya",O233="Ya",P233="Sesuai"),1,0.5)))))</f>
        <v/>
      </c>
      <c r="S233" s="30">
        <f>IF(L233="N/A","N/A",IF(R233="","Belum dinilai",IF(R233=1,"Memenuhi",IF(R233=0,"Tidak Memenuhi","Memenuhi Sebagian"))))</f>
        <v/>
      </c>
      <c r="T233" s="31" t="inlineStr">
        <is>
          <t>1.7-1</t>
        </is>
      </c>
      <c r="U233" s="77" t="n"/>
    </row>
    <row r="234" ht="15" customHeight="1">
      <c r="A234" s="77" t="n"/>
      <c r="B234" s="77" t="n"/>
      <c r="C234" s="77" t="n"/>
      <c r="D234" s="77" t="n"/>
      <c r="E234" s="34" t="inlineStr">
        <is>
          <t>D</t>
        </is>
      </c>
      <c r="F234" s="79" t="n"/>
      <c r="G234" s="79" t="n"/>
      <c r="H234" s="79" t="n"/>
      <c r="I234" s="28" t="n">
        <v>5</v>
      </c>
      <c r="J234" s="62" t="inlineStr">
        <is>
          <t>Laporan Hasil Pengawasan (LHP)</t>
        </is>
      </c>
      <c r="K234" s="78" t="inlineStr"/>
      <c r="L234" s="29" t="n"/>
      <c r="M234" s="10" t="n"/>
      <c r="N234" s="29" t="n"/>
      <c r="O234" s="29" t="n"/>
      <c r="P234" s="29" t="n"/>
      <c r="Q234" s="10" t="n"/>
      <c r="R234" s="30">
        <f>IF(OR(L234="",L234="N/A"),"",IF(L234="Tidak Ada",0,IF(P234="","",IF(P234="Tidak Sesuai",0,IF(AND(N234="Ya",O234="Ya",P234="Sesuai"),1,0.5)))))</f>
        <v/>
      </c>
      <c r="S234" s="30">
        <f>IF(L234="N/A","N/A",IF(R234="","Belum dinilai",IF(R234=1,"Memenuhi",IF(R234=0,"Tidak Memenuhi","Memenuhi Sebagian"))))</f>
        <v/>
      </c>
      <c r="T234" s="31" t="inlineStr">
        <is>
          <t>1.7-1</t>
        </is>
      </c>
      <c r="U234" s="79" t="n"/>
    </row>
    <row r="235" ht="39" customHeight="1">
      <c r="A235" s="77" t="n"/>
      <c r="B235" s="77" t="n"/>
      <c r="C235" s="77" t="n"/>
      <c r="D235" s="77" t="n"/>
      <c r="E235" s="35" t="inlineStr">
        <is>
          <t>E</t>
        </is>
      </c>
      <c r="F235" s="62" t="inlineStr">
        <is>
          <t>E – Kebijakan/Formalitas</t>
        </is>
      </c>
      <c r="G235" s="62" t="inlineStr">
        <is>
          <t>Tidak ada praktik yang tetap, tidak ada kapabilitas yang berulang dan tergantung pada kinerja individu</t>
        </is>
      </c>
      <c r="H235" s="62" t="inlineStr">
        <is>
          <t>Organisasi telah memiliki/menetapkan tidak ada praktik yang tetap, tidak ada kapabilitas yang berulang dan tergantung pada kinerja individu</t>
        </is>
      </c>
      <c r="I235" s="28" t="n">
        <v>1</v>
      </c>
      <c r="J235" s="62" t="inlineStr">
        <is>
          <t>Surat Tugas Pengawasan</t>
        </is>
      </c>
      <c r="K235" s="78" t="inlineStr"/>
      <c r="L235" s="29" t="n"/>
      <c r="M235" s="10" t="n"/>
      <c r="N235" s="29" t="n"/>
      <c r="O235" s="29" t="n"/>
      <c r="P235" s="29" t="n"/>
      <c r="Q235" s="10" t="n"/>
      <c r="R235" s="30">
        <f>IF(OR(L235="",L235="N/A"),"",IF(L235="Tidak Ada",0,IF(P235="","",IF(P235="Tidak Sesuai",0,IF(AND(N235="Ya",O235="Ya",P235="Sesuai"),1,0.5)))))</f>
        <v/>
      </c>
      <c r="S235" s="30">
        <f>IF(L235="N/A","N/A",IF(R235="","Belum dinilai",IF(R235=1,"Memenuhi",IF(R235=0,"Tidak Memenuhi","Memenuhi Sebagian"))))</f>
        <v/>
      </c>
      <c r="T235" s="31" t="inlineStr">
        <is>
          <t>1.7-1</t>
        </is>
      </c>
      <c r="U235" s="63">
        <f>IF(COUNT(R235:R236)=0,"",SUM(R235:R236)/COUNT(R235:R236))</f>
        <v/>
      </c>
    </row>
    <row r="236" ht="39" customHeight="1">
      <c r="A236" s="79" t="n"/>
      <c r="B236" s="79" t="n"/>
      <c r="C236" s="79" t="n"/>
      <c r="D236" s="79" t="n"/>
      <c r="E236" s="35" t="inlineStr">
        <is>
          <t>E</t>
        </is>
      </c>
      <c r="F236" s="79" t="n"/>
      <c r="G236" s="79" t="n"/>
      <c r="H236" s="79" t="n"/>
      <c r="I236" s="28" t="n">
        <v>2</v>
      </c>
      <c r="J236" s="62" t="inlineStr">
        <is>
          <t>Laporan Hasil Pengawasan (LHP)</t>
        </is>
      </c>
      <c r="K236" s="78" t="inlineStr"/>
      <c r="L236" s="29" t="n"/>
      <c r="M236" s="10" t="n"/>
      <c r="N236" s="29" t="n"/>
      <c r="O236" s="29" t="n"/>
      <c r="P236" s="29" t="n"/>
      <c r="Q236" s="10" t="n"/>
      <c r="R236" s="30">
        <f>IF(OR(L236="",L236="N/A"),"",IF(L236="Tidak Ada",0,IF(P236="","",IF(P236="Tidak Sesuai",0,IF(AND(N236="Ya",O236="Ya",P236="Sesuai"),1,0.5)))))</f>
        <v/>
      </c>
      <c r="S236" s="30">
        <f>IF(L236="N/A","N/A",IF(R236="","Belum dinilai",IF(R236=1,"Memenuhi",IF(R236=0,"Tidak Memenuhi","Memenuhi Sebagian"))))</f>
        <v/>
      </c>
      <c r="T236" s="31" t="inlineStr">
        <is>
          <t>1.7-1</t>
        </is>
      </c>
      <c r="U236" s="79" t="n"/>
    </row>
    <row r="237" ht="27" customHeight="1">
      <c r="A237" s="56" t="inlineStr">
        <is>
          <t>1.8</t>
        </is>
      </c>
      <c r="B237" s="57" t="inlineStr">
        <is>
          <t>Hubungan Kerja yang Baik dengan Instansi Pemerintah Terkait</t>
        </is>
      </c>
      <c r="C237" s="58" t="n">
        <v>1</v>
      </c>
      <c r="D237" s="59" t="inlineStr">
        <is>
          <t>Pimpinan K/L/D menjalin hubungan kerja yang baik (kemitraan) dengan instansi lain terkait dengan upaya pencapaian tujuan organisasi.</t>
        </is>
      </c>
      <c r="E237" s="21" t="inlineStr">
        <is>
          <t>A</t>
        </is>
      </c>
      <c r="F237" s="60" t="inlineStr">
        <is>
          <t>A – Perbaikan Berkelanjutan</t>
        </is>
      </c>
      <c r="G237" s="60" t="inlineStr">
        <is>
          <t>Pelaksanaan hubungan kerja yang baik dengan mitra kerjasama organisasi menghasilkan efektivitas pencapaian tujuan organisasi dan efisiensi penggunaan sumberdaya masing-masing instansi</t>
        </is>
      </c>
      <c r="H237" s="60" t="inlineStr">
        <is>
          <t>Pelaksanaan hubungan kerja yang baik dengan mitra kerjasama organisasi menghasilkan efektivitas pencapaian tujuan organisasi dan efisiensi penggunaan sumberdaya masing-masing instansi</t>
        </is>
      </c>
      <c r="I237" s="22" t="n">
        <v>1</v>
      </c>
      <c r="J237" s="60" t="inlineStr">
        <is>
          <t>Laporan Evaluasi Dampak/Manfaat Kerja Sama</t>
        </is>
      </c>
      <c r="K237" s="76" t="inlineStr"/>
      <c r="L237" s="23" t="n"/>
      <c r="M237" s="24" t="n"/>
      <c r="N237" s="23" t="n"/>
      <c r="O237" s="23" t="n"/>
      <c r="P237" s="23" t="n"/>
      <c r="Q237" s="24" t="n"/>
      <c r="R237" s="25">
        <f>IF(OR(L237="",L237="N/A"),"",IF(L237="Tidak Ada",0,IF(P237="","",IF(P237="Tidak Sesuai",0,IF(AND(N237="Ya",O237="Ya",P237="Sesuai"),1,0.5)))))</f>
        <v/>
      </c>
      <c r="S237" s="25">
        <f>IF(L237="N/A","N/A",IF(R237="","Belum dinilai",IF(R237=1,"Memenuhi",IF(R237=0,"Tidak Memenuhi","Memenuhi Sebagian"))))</f>
        <v/>
      </c>
      <c r="T237" s="26" t="inlineStr">
        <is>
          <t>1.8-1</t>
        </is>
      </c>
      <c r="U237" s="61">
        <f>IF(COUNT(R237:R242)=0,"",SUM(R237:R242)/COUNT(R237:R242))</f>
        <v/>
      </c>
    </row>
    <row r="238" ht="27" customHeight="1">
      <c r="A238" s="77" t="n"/>
      <c r="B238" s="77" t="n"/>
      <c r="C238" s="77" t="n"/>
      <c r="D238" s="77" t="n"/>
      <c r="E238" s="27" t="inlineStr">
        <is>
          <t>A</t>
        </is>
      </c>
      <c r="F238" s="77" t="n"/>
      <c r="G238" s="77" t="n"/>
      <c r="H238" s="77" t="n"/>
      <c r="I238" s="28" t="n">
        <v>2</v>
      </c>
      <c r="J238" s="62" t="inlineStr">
        <is>
          <t>Laporan Capaian/Hasil Kerja Sama</t>
        </is>
      </c>
      <c r="K238" s="78" t="inlineStr"/>
      <c r="L238" s="29" t="n"/>
      <c r="M238" s="10" t="n"/>
      <c r="N238" s="29" t="n"/>
      <c r="O238" s="29" t="n"/>
      <c r="P238" s="29" t="n"/>
      <c r="Q238" s="10" t="n"/>
      <c r="R238" s="30">
        <f>IF(OR(L238="",L238="N/A"),"",IF(L238="Tidak Ada",0,IF(P238="","",IF(P238="Tidak Sesuai",0,IF(AND(N238="Ya",O238="Ya",P238="Sesuai"),1,0.5)))))</f>
        <v/>
      </c>
      <c r="S238" s="30">
        <f>IF(L238="N/A","N/A",IF(R238="","Belum dinilai",IF(R238=1,"Memenuhi",IF(R238=0,"Tidak Memenuhi","Memenuhi Sebagian"))))</f>
        <v/>
      </c>
      <c r="T238" s="31" t="inlineStr">
        <is>
          <t>1.8-1</t>
        </is>
      </c>
      <c r="U238" s="77" t="n"/>
    </row>
    <row r="239" ht="27" customHeight="1">
      <c r="A239" s="77" t="n"/>
      <c r="B239" s="77" t="n"/>
      <c r="C239" s="77" t="n"/>
      <c r="D239" s="77" t="n"/>
      <c r="E239" s="27" t="inlineStr">
        <is>
          <t>A</t>
        </is>
      </c>
      <c r="F239" s="77" t="n"/>
      <c r="G239" s="77" t="n"/>
      <c r="H239" s="77" t="n"/>
      <c r="I239" s="28" t="n">
        <v>3</v>
      </c>
      <c r="J239" s="62" t="inlineStr">
        <is>
          <t>Dokumen tindak lanjut/pengembangan kerja sama</t>
        </is>
      </c>
      <c r="K239" s="78" t="inlineStr"/>
      <c r="L239" s="29" t="n"/>
      <c r="M239" s="10" t="n"/>
      <c r="N239" s="29" t="n"/>
      <c r="O239" s="29" t="n"/>
      <c r="P239" s="29" t="n"/>
      <c r="Q239" s="10" t="n"/>
      <c r="R239" s="30">
        <f>IF(OR(L239="",L239="N/A"),"",IF(L239="Tidak Ada",0,IF(P239="","",IF(P239="Tidak Sesuai",0,IF(AND(N239="Ya",O239="Ya",P239="Sesuai"),1,0.5)))))</f>
        <v/>
      </c>
      <c r="S239" s="30">
        <f>IF(L239="N/A","N/A",IF(R239="","Belum dinilai",IF(R239=1,"Memenuhi",IF(R239=0,"Tidak Memenuhi","Memenuhi Sebagian"))))</f>
        <v/>
      </c>
      <c r="T239" s="31" t="inlineStr">
        <is>
          <t>1.8-1</t>
        </is>
      </c>
      <c r="U239" s="77" t="n"/>
    </row>
    <row r="240" ht="27" customHeight="1">
      <c r="A240" s="77" t="n"/>
      <c r="B240" s="77" t="n"/>
      <c r="C240" s="77" t="n"/>
      <c r="D240" s="77" t="n"/>
      <c r="E240" s="27" t="inlineStr">
        <is>
          <t>A</t>
        </is>
      </c>
      <c r="F240" s="77" t="n"/>
      <c r="G240" s="77" t="n"/>
      <c r="H240" s="77" t="n"/>
      <c r="I240" s="28" t="n">
        <v>4</v>
      </c>
      <c r="J240" s="62" t="inlineStr">
        <is>
          <t>Adendum/Perubahan PKS berdasarkan hasil evaluasi, jika ada</t>
        </is>
      </c>
      <c r="K240" s="78" t="inlineStr"/>
      <c r="L240" s="29" t="n"/>
      <c r="M240" s="10" t="n"/>
      <c r="N240" s="29" t="n"/>
      <c r="O240" s="29" t="n"/>
      <c r="P240" s="29" t="n"/>
      <c r="Q240" s="10" t="n"/>
      <c r="R240" s="30">
        <f>IF(OR(L240="",L240="N/A"),"",IF(L240="Tidak Ada",0,IF(P240="","",IF(P240="Tidak Sesuai",0,IF(AND(N240="Ya",O240="Ya",P240="Sesuai"),1,0.5)))))</f>
        <v/>
      </c>
      <c r="S240" s="30">
        <f>IF(L240="N/A","N/A",IF(R240="","Belum dinilai",IF(R240=1,"Memenuhi",IF(R240=0,"Tidak Memenuhi","Memenuhi Sebagian"))))</f>
        <v/>
      </c>
      <c r="T240" s="31" t="inlineStr">
        <is>
          <t>1.8-1</t>
        </is>
      </c>
      <c r="U240" s="77" t="n"/>
    </row>
    <row r="241" ht="27" customHeight="1">
      <c r="A241" s="77" t="n"/>
      <c r="B241" s="77" t="n"/>
      <c r="C241" s="77" t="n"/>
      <c r="D241" s="77" t="n"/>
      <c r="E241" s="27" t="inlineStr">
        <is>
          <t>A</t>
        </is>
      </c>
      <c r="F241" s="77" t="n"/>
      <c r="G241" s="77" t="n"/>
      <c r="H241" s="77" t="n"/>
      <c r="I241" s="28" t="n">
        <v>5</v>
      </c>
      <c r="J241" s="62" t="inlineStr">
        <is>
          <t>Bukti pemanfaatan bersama sumber daya/data/informasi</t>
        </is>
      </c>
      <c r="K241" s="78" t="inlineStr"/>
      <c r="L241" s="29" t="n"/>
      <c r="M241" s="10" t="n"/>
      <c r="N241" s="29" t="n"/>
      <c r="O241" s="29" t="n"/>
      <c r="P241" s="29" t="n"/>
      <c r="Q241" s="10" t="n"/>
      <c r="R241" s="30">
        <f>IF(OR(L241="",L241="N/A"),"",IF(L241="Tidak Ada",0,IF(P241="","",IF(P241="Tidak Sesuai",0,IF(AND(N241="Ya",O241="Ya",P241="Sesuai"),1,0.5)))))</f>
        <v/>
      </c>
      <c r="S241" s="30">
        <f>IF(L241="N/A","N/A",IF(R241="","Belum dinilai",IF(R241=1,"Memenuhi",IF(R241=0,"Tidak Memenuhi","Memenuhi Sebagian"))))</f>
        <v/>
      </c>
      <c r="T241" s="31" t="inlineStr">
        <is>
          <t>1.8-1</t>
        </is>
      </c>
      <c r="U241" s="77" t="n"/>
    </row>
    <row r="242" ht="27" customHeight="1">
      <c r="A242" s="77" t="n"/>
      <c r="B242" s="77" t="n"/>
      <c r="C242" s="77" t="n"/>
      <c r="D242" s="77" t="n"/>
      <c r="E242" s="27" t="inlineStr">
        <is>
          <t>A</t>
        </is>
      </c>
      <c r="F242" s="79" t="n"/>
      <c r="G242" s="79" t="n"/>
      <c r="H242" s="79" t="n"/>
      <c r="I242" s="28" t="n">
        <v>6</v>
      </c>
      <c r="J242" s="62" t="inlineStr">
        <is>
          <t>Dokumen rencana/pengembangan kerja sama lanjutan</t>
        </is>
      </c>
      <c r="K242" s="78" t="inlineStr"/>
      <c r="L242" s="29" t="n"/>
      <c r="M242" s="10" t="n"/>
      <c r="N242" s="29" t="n"/>
      <c r="O242" s="29" t="n"/>
      <c r="P242" s="29" t="n"/>
      <c r="Q242" s="10" t="n"/>
      <c r="R242" s="30">
        <f>IF(OR(L242="",L242="N/A"),"",IF(L242="Tidak Ada",0,IF(P242="","",IF(P242="Tidak Sesuai",0,IF(AND(N242="Ya",O242="Ya",P242="Sesuai"),1,0.5)))))</f>
        <v/>
      </c>
      <c r="S242" s="30">
        <f>IF(L242="N/A","N/A",IF(R242="","Belum dinilai",IF(R242=1,"Memenuhi",IF(R242=0,"Tidak Memenuhi","Memenuhi Sebagian"))))</f>
        <v/>
      </c>
      <c r="T242" s="31" t="inlineStr">
        <is>
          <t>1.8-1</t>
        </is>
      </c>
      <c r="U242" s="79" t="n"/>
    </row>
    <row r="243" ht="27" customHeight="1">
      <c r="A243" s="77" t="n"/>
      <c r="B243" s="77" t="n"/>
      <c r="C243" s="77" t="n"/>
      <c r="D243" s="77" t="n"/>
      <c r="E243" s="32" t="inlineStr">
        <is>
          <t>B</t>
        </is>
      </c>
      <c r="F243" s="62" t="inlineStr">
        <is>
          <t>B – Evaluasi &amp; Tindak Lanjut</t>
        </is>
      </c>
      <c r="G243" s="62" t="inlineStr">
        <is>
          <t>Pelaksanaan kebijakan kerjasama organisasi dievaluasi secara berkala</t>
        </is>
      </c>
      <c r="H243" s="62" t="inlineStr">
        <is>
          <t>Pelaksanaan kebijakan kerjasama organisasi dievaluasi secara berkala</t>
        </is>
      </c>
      <c r="I243" s="28" t="n">
        <v>1</v>
      </c>
      <c r="J243" s="62" t="inlineStr">
        <is>
          <t>Laporan Evaluasi Pelaksanaan Kerja Sama</t>
        </is>
      </c>
      <c r="K243" s="78" t="inlineStr"/>
      <c r="L243" s="29" t="n"/>
      <c r="M243" s="10" t="n"/>
      <c r="N243" s="29" t="n"/>
      <c r="O243" s="29" t="n"/>
      <c r="P243" s="29" t="n"/>
      <c r="Q243" s="10" t="n"/>
      <c r="R243" s="30">
        <f>IF(OR(L243="",L243="N/A"),"",IF(L243="Tidak Ada",0,IF(P243="","",IF(P243="Tidak Sesuai",0,IF(AND(N243="Ya",O243="Ya",P243="Sesuai"),1,0.5)))))</f>
        <v/>
      </c>
      <c r="S243" s="30">
        <f>IF(L243="N/A","N/A",IF(R243="","Belum dinilai",IF(R243=1,"Memenuhi",IF(R243=0,"Tidak Memenuhi","Memenuhi Sebagian"))))</f>
        <v/>
      </c>
      <c r="T243" s="31" t="inlineStr">
        <is>
          <t>1.8-1</t>
        </is>
      </c>
      <c r="U243" s="63">
        <f>IF(COUNT(R243:R247)=0,"",SUM(R243:R247)/COUNT(R243:R247))</f>
        <v/>
      </c>
    </row>
    <row r="244" ht="15" customHeight="1">
      <c r="A244" s="77" t="n"/>
      <c r="B244" s="77" t="n"/>
      <c r="C244" s="77" t="n"/>
      <c r="D244" s="77" t="n"/>
      <c r="E244" s="32" t="inlineStr">
        <is>
          <t>B</t>
        </is>
      </c>
      <c r="F244" s="77" t="n"/>
      <c r="G244" s="77" t="n"/>
      <c r="H244" s="77" t="n"/>
      <c r="I244" s="28" t="n">
        <v>2</v>
      </c>
      <c r="J244" s="62" t="inlineStr">
        <is>
          <t>Notulen/BA Evaluasi Kerja Sama</t>
        </is>
      </c>
      <c r="K244" s="78" t="inlineStr"/>
      <c r="L244" s="29" t="n"/>
      <c r="M244" s="10" t="n"/>
      <c r="N244" s="29" t="n"/>
      <c r="O244" s="29" t="n"/>
      <c r="P244" s="29" t="n"/>
      <c r="Q244" s="10" t="n"/>
      <c r="R244" s="30">
        <f>IF(OR(L244="",L244="N/A"),"",IF(L244="Tidak Ada",0,IF(P244="","",IF(P244="Tidak Sesuai",0,IF(AND(N244="Ya",O244="Ya",P244="Sesuai"),1,0.5)))))</f>
        <v/>
      </c>
      <c r="S244" s="30">
        <f>IF(L244="N/A","N/A",IF(R244="","Belum dinilai",IF(R244=1,"Memenuhi",IF(R244=0,"Tidak Memenuhi","Memenuhi Sebagian"))))</f>
        <v/>
      </c>
      <c r="T244" s="31" t="inlineStr">
        <is>
          <t>1.8-1</t>
        </is>
      </c>
      <c r="U244" s="77" t="n"/>
    </row>
    <row r="245" ht="27" customHeight="1">
      <c r="A245" s="77" t="n"/>
      <c r="B245" s="77" t="n"/>
      <c r="C245" s="77" t="n"/>
      <c r="D245" s="77" t="n"/>
      <c r="E245" s="32" t="inlineStr">
        <is>
          <t>B</t>
        </is>
      </c>
      <c r="F245" s="77" t="n"/>
      <c r="G245" s="77" t="n"/>
      <c r="H245" s="77" t="n"/>
      <c r="I245" s="28" t="n">
        <v>3</v>
      </c>
      <c r="J245" s="62" t="inlineStr">
        <is>
          <t>Daftar/Matriks Hambatan dan Tindak Lanjut Kerja Sama</t>
        </is>
      </c>
      <c r="K245" s="78" t="inlineStr"/>
      <c r="L245" s="29" t="n"/>
      <c r="M245" s="10" t="n"/>
      <c r="N245" s="29" t="n"/>
      <c r="O245" s="29" t="n"/>
      <c r="P245" s="29" t="n"/>
      <c r="Q245" s="10" t="n"/>
      <c r="R245" s="30">
        <f>IF(OR(L245="",L245="N/A"),"",IF(L245="Tidak Ada",0,IF(P245="","",IF(P245="Tidak Sesuai",0,IF(AND(N245="Ya",O245="Ya",P245="Sesuai"),1,0.5)))))</f>
        <v/>
      </c>
      <c r="S245" s="30">
        <f>IF(L245="N/A","N/A",IF(R245="","Belum dinilai",IF(R245=1,"Memenuhi",IF(R245=0,"Tidak Memenuhi","Memenuhi Sebagian"))))</f>
        <v/>
      </c>
      <c r="T245" s="31" t="inlineStr">
        <is>
          <t>1.8-1</t>
        </is>
      </c>
      <c r="U245" s="77" t="n"/>
    </row>
    <row r="246" ht="27" customHeight="1">
      <c r="A246" s="77" t="n"/>
      <c r="B246" s="77" t="n"/>
      <c r="C246" s="77" t="n"/>
      <c r="D246" s="77" t="n"/>
      <c r="E246" s="32" t="inlineStr">
        <is>
          <t>B</t>
        </is>
      </c>
      <c r="F246" s="77" t="n"/>
      <c r="G246" s="77" t="n"/>
      <c r="H246" s="77" t="n"/>
      <c r="I246" s="28" t="n">
        <v>4</v>
      </c>
      <c r="J246" s="62" t="inlineStr">
        <is>
          <t>Laporan Tindak Lanjut Hasil Evaluasi</t>
        </is>
      </c>
      <c r="K246" s="78" t="inlineStr"/>
      <c r="L246" s="29" t="n"/>
      <c r="M246" s="10" t="n"/>
      <c r="N246" s="29" t="n"/>
      <c r="O246" s="29" t="n"/>
      <c r="P246" s="29" t="n"/>
      <c r="Q246" s="10" t="n"/>
      <c r="R246" s="30">
        <f>IF(OR(L246="",L246="N/A"),"",IF(L246="Tidak Ada",0,IF(P246="","",IF(P246="Tidak Sesuai",0,IF(AND(N246="Ya",O246="Ya",P246="Sesuai"),1,0.5)))))</f>
        <v/>
      </c>
      <c r="S246" s="30">
        <f>IF(L246="N/A","N/A",IF(R246="","Belum dinilai",IF(R246=1,"Memenuhi",IF(R246=0,"Tidak Memenuhi","Memenuhi Sebagian"))))</f>
        <v/>
      </c>
      <c r="T246" s="31" t="inlineStr">
        <is>
          <t>1.8-1</t>
        </is>
      </c>
      <c r="U246" s="77" t="n"/>
    </row>
    <row r="247" ht="27" customHeight="1">
      <c r="A247" s="77" t="n"/>
      <c r="B247" s="77" t="n"/>
      <c r="C247" s="77" t="n"/>
      <c r="D247" s="77" t="n"/>
      <c r="E247" s="32" t="inlineStr">
        <is>
          <t>B</t>
        </is>
      </c>
      <c r="F247" s="79" t="n"/>
      <c r="G247" s="79" t="n"/>
      <c r="H247" s="79" t="n"/>
      <c r="I247" s="28" t="n">
        <v>5</v>
      </c>
      <c r="J247" s="62" t="inlineStr">
        <is>
          <t>Adendum/Perubahan PKS atau SOP, jika ada</t>
        </is>
      </c>
      <c r="K247" s="78" t="inlineStr"/>
      <c r="L247" s="29" t="n"/>
      <c r="M247" s="10" t="n"/>
      <c r="N247" s="29" t="n"/>
      <c r="O247" s="29" t="n"/>
      <c r="P247" s="29" t="n"/>
      <c r="Q247" s="10" t="n"/>
      <c r="R247" s="30">
        <f>IF(OR(L247="",L247="N/A"),"",IF(L247="Tidak Ada",0,IF(P247="","",IF(P247="Tidak Sesuai",0,IF(AND(N247="Ya",O247="Ya",P247="Sesuai"),1,0.5)))))</f>
        <v/>
      </c>
      <c r="S247" s="30">
        <f>IF(L247="N/A","N/A",IF(R247="","Belum dinilai",IF(R247=1,"Memenuhi",IF(R247=0,"Tidak Memenuhi","Memenuhi Sebagian"))))</f>
        <v/>
      </c>
      <c r="T247" s="31" t="inlineStr">
        <is>
          <t>1.8-1</t>
        </is>
      </c>
      <c r="U247" s="79" t="n"/>
    </row>
    <row r="248" ht="27" customHeight="1">
      <c r="A248" s="77" t="n"/>
      <c r="B248" s="77" t="n"/>
      <c r="C248" s="77" t="n"/>
      <c r="D248" s="77" t="n"/>
      <c r="E248" s="33" t="inlineStr">
        <is>
          <t>C</t>
        </is>
      </c>
      <c r="F248" s="62" t="inlineStr">
        <is>
          <t>C – Implementasi</t>
        </is>
      </c>
      <c r="G248" s="62" t="inlineStr">
        <is>
          <t>Masing-masing pihak melaksanakan kegiatan sesuai dengan lingkup kewenangan masing-masing sesuai kebijakan dan ukuran kinerja yang ditetapkan</t>
        </is>
      </c>
      <c r="H248" s="62" t="inlineStr">
        <is>
          <t>Masing-masing pihak melaksanakan kegiatan sesuai dengan lingkup kewenangan masing-masing sesuai kebijakan dan ukuran kinerja yang ditetapkan</t>
        </is>
      </c>
      <c r="I248" s="28" t="n">
        <v>1</v>
      </c>
      <c r="J248" s="62" t="inlineStr">
        <is>
          <t>Laporan Pelaksanaan Kerja Sama</t>
        </is>
      </c>
      <c r="K248" s="78" t="inlineStr"/>
      <c r="L248" s="29" t="n"/>
      <c r="M248" s="10" t="n"/>
      <c r="N248" s="29" t="n"/>
      <c r="O248" s="29" t="n"/>
      <c r="P248" s="29" t="n"/>
      <c r="Q248" s="10" t="n"/>
      <c r="R248" s="30">
        <f>IF(OR(L248="",L248="N/A"),"",IF(L248="Tidak Ada",0,IF(P248="","",IF(P248="Tidak Sesuai",0,IF(AND(N248="Ya",O248="Ya",P248="Sesuai"),1,0.5)))))</f>
        <v/>
      </c>
      <c r="S248" s="30">
        <f>IF(L248="N/A","N/A",IF(R248="","Belum dinilai",IF(R248=1,"Memenuhi",IF(R248=0,"Tidak Memenuhi","Memenuhi Sebagian"))))</f>
        <v/>
      </c>
      <c r="T248" s="31" t="inlineStr">
        <is>
          <t>1.8-1</t>
        </is>
      </c>
      <c r="U248" s="63">
        <f>IF(COUNT(R248:R252)=0,"",SUM(R248:R252)/COUNT(R248:R252))</f>
        <v/>
      </c>
    </row>
    <row r="249" ht="27" customHeight="1">
      <c r="A249" s="77" t="n"/>
      <c r="B249" s="77" t="n"/>
      <c r="C249" s="77" t="n"/>
      <c r="D249" s="77" t="n"/>
      <c r="E249" s="33" t="inlineStr">
        <is>
          <t>C</t>
        </is>
      </c>
      <c r="F249" s="77" t="n"/>
      <c r="G249" s="77" t="n"/>
      <c r="H249" s="77" t="n"/>
      <c r="I249" s="28" t="n">
        <v>2</v>
      </c>
      <c r="J249" s="62" t="inlineStr">
        <is>
          <t>Notulen/BA Rapat Koordinasi dengan Mitra</t>
        </is>
      </c>
      <c r="K249" s="78" t="inlineStr"/>
      <c r="L249" s="29" t="n"/>
      <c r="M249" s="10" t="n"/>
      <c r="N249" s="29" t="n"/>
      <c r="O249" s="29" t="n"/>
      <c r="P249" s="29" t="n"/>
      <c r="Q249" s="10" t="n"/>
      <c r="R249" s="30">
        <f>IF(OR(L249="",L249="N/A"),"",IF(L249="Tidak Ada",0,IF(P249="","",IF(P249="Tidak Sesuai",0,IF(AND(N249="Ya",O249="Ya",P249="Sesuai"),1,0.5)))))</f>
        <v/>
      </c>
      <c r="S249" s="30">
        <f>IF(L249="N/A","N/A",IF(R249="","Belum dinilai",IF(R249=1,"Memenuhi",IF(R249=0,"Tidak Memenuhi","Memenuhi Sebagian"))))</f>
        <v/>
      </c>
      <c r="T249" s="31" t="inlineStr">
        <is>
          <t>1.8-1</t>
        </is>
      </c>
      <c r="U249" s="77" t="n"/>
    </row>
    <row r="250" ht="27" customHeight="1">
      <c r="A250" s="77" t="n"/>
      <c r="B250" s="77" t="n"/>
      <c r="C250" s="77" t="n"/>
      <c r="D250" s="77" t="n"/>
      <c r="E250" s="33" t="inlineStr">
        <is>
          <t>C</t>
        </is>
      </c>
      <c r="F250" s="77" t="n"/>
      <c r="G250" s="77" t="n"/>
      <c r="H250" s="77" t="n"/>
      <c r="I250" s="28" t="n">
        <v>3</v>
      </c>
      <c r="J250" s="62" t="inlineStr">
        <is>
          <t>Berita Acara Pertukaran/Penyampaian Data dan Informasi</t>
        </is>
      </c>
      <c r="K250" s="78" t="inlineStr"/>
      <c r="L250" s="29" t="n"/>
      <c r="M250" s="10" t="n"/>
      <c r="N250" s="29" t="n"/>
      <c r="O250" s="29" t="n"/>
      <c r="P250" s="29" t="n"/>
      <c r="Q250" s="10" t="n"/>
      <c r="R250" s="30">
        <f>IF(OR(L250="",L250="N/A"),"",IF(L250="Tidak Ada",0,IF(P250="","",IF(P250="Tidak Sesuai",0,IF(AND(N250="Ya",O250="Ya",P250="Sesuai"),1,0.5)))))</f>
        <v/>
      </c>
      <c r="S250" s="30">
        <f>IF(L250="N/A","N/A",IF(R250="","Belum dinilai",IF(R250=1,"Memenuhi",IF(R250=0,"Tidak Memenuhi","Memenuhi Sebagian"))))</f>
        <v/>
      </c>
      <c r="T250" s="31" t="inlineStr">
        <is>
          <t>1.8-1</t>
        </is>
      </c>
      <c r="U250" s="77" t="n"/>
    </row>
    <row r="251" ht="27" customHeight="1">
      <c r="A251" s="77" t="n"/>
      <c r="B251" s="77" t="n"/>
      <c r="C251" s="77" t="n"/>
      <c r="D251" s="77" t="n"/>
      <c r="E251" s="33" t="inlineStr">
        <is>
          <t>C</t>
        </is>
      </c>
      <c r="F251" s="77" t="n"/>
      <c r="G251" s="77" t="n"/>
      <c r="H251" s="77" t="n"/>
      <c r="I251" s="28" t="n">
        <v>4</v>
      </c>
      <c r="J251" s="62" t="inlineStr">
        <is>
          <t>Dokumentasi pelaksanaan kegiatan bersama</t>
        </is>
      </c>
      <c r="K251" s="78" t="inlineStr"/>
      <c r="L251" s="29" t="n"/>
      <c r="M251" s="10" t="n"/>
      <c r="N251" s="29" t="n"/>
      <c r="O251" s="29" t="n"/>
      <c r="P251" s="29" t="n"/>
      <c r="Q251" s="10" t="n"/>
      <c r="R251" s="30">
        <f>IF(OR(L251="",L251="N/A"),"",IF(L251="Tidak Ada",0,IF(P251="","",IF(P251="Tidak Sesuai",0,IF(AND(N251="Ya",O251="Ya",P251="Sesuai"),1,0.5)))))</f>
        <v/>
      </c>
      <c r="S251" s="30">
        <f>IF(L251="N/A","N/A",IF(R251="","Belum dinilai",IF(R251=1,"Memenuhi",IF(R251=0,"Tidak Memenuhi","Memenuhi Sebagian"))))</f>
        <v/>
      </c>
      <c r="T251" s="31" t="inlineStr">
        <is>
          <t>1.8-1</t>
        </is>
      </c>
      <c r="U251" s="77" t="n"/>
    </row>
    <row r="252" ht="27" customHeight="1">
      <c r="A252" s="77" t="n"/>
      <c r="B252" s="77" t="n"/>
      <c r="C252" s="77" t="n"/>
      <c r="D252" s="77" t="n"/>
      <c r="E252" s="33" t="inlineStr">
        <is>
          <t>C</t>
        </is>
      </c>
      <c r="F252" s="79" t="n"/>
      <c r="G252" s="79" t="n"/>
      <c r="H252" s="79" t="n"/>
      <c r="I252" s="28" t="n">
        <v>5</v>
      </c>
      <c r="J252" s="62" t="inlineStr">
        <is>
          <t>Laporan hasil kegiatan kerja sama</t>
        </is>
      </c>
      <c r="K252" s="78" t="inlineStr"/>
      <c r="L252" s="29" t="n"/>
      <c r="M252" s="10" t="n"/>
      <c r="N252" s="29" t="n"/>
      <c r="O252" s="29" t="n"/>
      <c r="P252" s="29" t="n"/>
      <c r="Q252" s="10" t="n"/>
      <c r="R252" s="30">
        <f>IF(OR(L252="",L252="N/A"),"",IF(L252="Tidak Ada",0,IF(P252="","",IF(P252="Tidak Sesuai",0,IF(AND(N252="Ya",O252="Ya",P252="Sesuai"),1,0.5)))))</f>
        <v/>
      </c>
      <c r="S252" s="30">
        <f>IF(L252="N/A","N/A",IF(R252="","Belum dinilai",IF(R252=1,"Memenuhi",IF(R252=0,"Tidak Memenuhi","Memenuhi Sebagian"))))</f>
        <v/>
      </c>
      <c r="T252" s="31" t="inlineStr">
        <is>
          <t>1.8-1</t>
        </is>
      </c>
      <c r="U252" s="79" t="n"/>
    </row>
    <row r="253" ht="27" customHeight="1">
      <c r="A253" s="77" t="n"/>
      <c r="B253" s="77" t="n"/>
      <c r="C253" s="77" t="n"/>
      <c r="D253" s="77" t="n"/>
      <c r="E253" s="34" t="inlineStr">
        <is>
          <t>D</t>
        </is>
      </c>
      <c r="F253" s="62" t="inlineStr">
        <is>
          <t>D – Komunikasi &amp; Pemahaman</t>
        </is>
      </c>
      <c r="G253" s="62" t="inlineStr">
        <is>
          <t>Pubilkasi kebijakan kerjasama organisasi kepada para pihak yang berkepentingan (antara lain subjek, objek, dan penerima manfaat kerjasama)</t>
        </is>
      </c>
      <c r="H253" s="62" t="inlineStr">
        <is>
          <t>Pubilkasi kebijakan kerjasama organisasi kepada para pihak yang berkepentingan (antara lain subjek, objek, dan penerima manfaat kerjasama)</t>
        </is>
      </c>
      <c r="I253" s="28" t="n">
        <v>1</v>
      </c>
      <c r="J253" s="62" t="inlineStr">
        <is>
          <t>Dokumen/SOP Kerja Sama</t>
        </is>
      </c>
      <c r="K253" s="78" t="inlineStr"/>
      <c r="L253" s="29" t="n"/>
      <c r="M253" s="10" t="n"/>
      <c r="N253" s="29" t="n"/>
      <c r="O253" s="29" t="n"/>
      <c r="P253" s="29" t="n"/>
      <c r="Q253" s="10" t="n"/>
      <c r="R253" s="30">
        <f>IF(OR(L253="",L253="N/A"),"",IF(L253="Tidak Ada",0,IF(P253="","",IF(P253="Tidak Sesuai",0,IF(AND(N253="Ya",O253="Ya",P253="Sesuai"),1,0.5)))))</f>
        <v/>
      </c>
      <c r="S253" s="30">
        <f>IF(L253="N/A","N/A",IF(R253="","Belum dinilai",IF(R253=1,"Memenuhi",IF(R253=0,"Tidak Memenuhi","Memenuhi Sebagian"))))</f>
        <v/>
      </c>
      <c r="T253" s="31" t="inlineStr">
        <is>
          <t>1.8-1</t>
        </is>
      </c>
      <c r="U253" s="63">
        <f>IF(COUNT(R253:R256)=0,"",SUM(R253:R256)/COUNT(R253:R256))</f>
        <v/>
      </c>
    </row>
    <row r="254" ht="27" customHeight="1">
      <c r="A254" s="77" t="n"/>
      <c r="B254" s="77" t="n"/>
      <c r="C254" s="77" t="n"/>
      <c r="D254" s="77" t="n"/>
      <c r="E254" s="34" t="inlineStr">
        <is>
          <t>D</t>
        </is>
      </c>
      <c r="F254" s="77" t="n"/>
      <c r="G254" s="77" t="n"/>
      <c r="H254" s="77" t="n"/>
      <c r="I254" s="28" t="n">
        <v>2</v>
      </c>
      <c r="J254" s="62" t="inlineStr">
        <is>
          <t>Surat/Undangan Sosialisasi Kerja Sama</t>
        </is>
      </c>
      <c r="K254" s="78" t="inlineStr"/>
      <c r="L254" s="29" t="n"/>
      <c r="M254" s="10" t="n"/>
      <c r="N254" s="29" t="n"/>
      <c r="O254" s="29" t="n"/>
      <c r="P254" s="29" t="n"/>
      <c r="Q254" s="10" t="n"/>
      <c r="R254" s="30">
        <f>IF(OR(L254="",L254="N/A"),"",IF(L254="Tidak Ada",0,IF(P254="","",IF(P254="Tidak Sesuai",0,IF(AND(N254="Ya",O254="Ya",P254="Sesuai"),1,0.5)))))</f>
        <v/>
      </c>
      <c r="S254" s="30">
        <f>IF(L254="N/A","N/A",IF(R254="","Belum dinilai",IF(R254=1,"Memenuhi",IF(R254=0,"Tidak Memenuhi","Memenuhi Sebagian"))))</f>
        <v/>
      </c>
      <c r="T254" s="31" t="inlineStr">
        <is>
          <t>1.8-1</t>
        </is>
      </c>
      <c r="U254" s="77" t="n"/>
    </row>
    <row r="255" ht="27" customHeight="1">
      <c r="A255" s="77" t="n"/>
      <c r="B255" s="77" t="n"/>
      <c r="C255" s="77" t="n"/>
      <c r="D255" s="77" t="n"/>
      <c r="E255" s="34" t="inlineStr">
        <is>
          <t>D</t>
        </is>
      </c>
      <c r="F255" s="77" t="n"/>
      <c r="G255" s="77" t="n"/>
      <c r="H255" s="77" t="n"/>
      <c r="I255" s="28" t="n">
        <v>3</v>
      </c>
      <c r="J255" s="62" t="inlineStr">
        <is>
          <t>Notulen/Daftar Hadir Rapat/Sosialisasi Kerja Sama</t>
        </is>
      </c>
      <c r="K255" s="78" t="inlineStr"/>
      <c r="L255" s="29" t="n"/>
      <c r="M255" s="10" t="n"/>
      <c r="N255" s="29" t="n"/>
      <c r="O255" s="29" t="n"/>
      <c r="P255" s="29" t="n"/>
      <c r="Q255" s="10" t="n"/>
      <c r="R255" s="30">
        <f>IF(OR(L255="",L255="N/A"),"",IF(L255="Tidak Ada",0,IF(P255="","",IF(P255="Tidak Sesuai",0,IF(AND(N255="Ya",O255="Ya",P255="Sesuai"),1,0.5)))))</f>
        <v/>
      </c>
      <c r="S255" s="30">
        <f>IF(L255="N/A","N/A",IF(R255="","Belum dinilai",IF(R255=1,"Memenuhi",IF(R255=0,"Tidak Memenuhi","Memenuhi Sebagian"))))</f>
        <v/>
      </c>
      <c r="T255" s="31" t="inlineStr">
        <is>
          <t>1.8-1</t>
        </is>
      </c>
      <c r="U255" s="77" t="n"/>
    </row>
    <row r="256" ht="27" customHeight="1">
      <c r="A256" s="77" t="n"/>
      <c r="B256" s="77" t="n"/>
      <c r="C256" s="77" t="n"/>
      <c r="D256" s="77" t="n"/>
      <c r="E256" s="34" t="inlineStr">
        <is>
          <t>D</t>
        </is>
      </c>
      <c r="F256" s="79" t="n"/>
      <c r="G256" s="79" t="n"/>
      <c r="H256" s="79" t="n"/>
      <c r="I256" s="28" t="n">
        <v>4</v>
      </c>
      <c r="J256" s="62" t="inlineStr">
        <is>
          <t>Dokumentasi penyampaian mekanisme kerja sama</t>
        </is>
      </c>
      <c r="K256" s="78" t="inlineStr"/>
      <c r="L256" s="29" t="n"/>
      <c r="M256" s="10" t="n"/>
      <c r="N256" s="29" t="n"/>
      <c r="O256" s="29" t="n"/>
      <c r="P256" s="29" t="n"/>
      <c r="Q256" s="10" t="n"/>
      <c r="R256" s="30">
        <f>IF(OR(L256="",L256="N/A"),"",IF(L256="Tidak Ada",0,IF(P256="","",IF(P256="Tidak Sesuai",0,IF(AND(N256="Ya",O256="Ya",P256="Sesuai"),1,0.5)))))</f>
        <v/>
      </c>
      <c r="S256" s="30">
        <f>IF(L256="N/A","N/A",IF(R256="","Belum dinilai",IF(R256=1,"Memenuhi",IF(R256=0,"Tidak Memenuhi","Memenuhi Sebagian"))))</f>
        <v/>
      </c>
      <c r="T256" s="31" t="inlineStr">
        <is>
          <t>1.8-1</t>
        </is>
      </c>
      <c r="U256" s="79" t="n"/>
    </row>
    <row r="257" ht="27" customHeight="1">
      <c r="A257" s="77" t="n"/>
      <c r="B257" s="77" t="n"/>
      <c r="C257" s="77" t="n"/>
      <c r="D257" s="77" t="n"/>
      <c r="E257" s="35" t="inlineStr">
        <is>
          <t>E</t>
        </is>
      </c>
      <c r="F257" s="62" t="inlineStr">
        <is>
          <t>E – Kebijakan/Formalitas</t>
        </is>
      </c>
      <c r="G257" s="62" t="inlineStr">
        <is>
          <t>Pimpinan organisasi menetapkan mekanisme hubungan kerja/tata cara kerjasama dengan instansi lain</t>
        </is>
      </c>
      <c r="H257" s="62" t="inlineStr">
        <is>
          <t>Pimpinan organisasi menetapkan mekanisme hubungan kerja/tata cara kerjasama dengan instansi lain</t>
        </is>
      </c>
      <c r="I257" s="28" t="n">
        <v>1</v>
      </c>
      <c r="J257" s="62" t="inlineStr">
        <is>
          <t>Nota Kesepahaman (MoU) / Perjanjian Kerja Sama (PKS)</t>
        </is>
      </c>
      <c r="K257" s="78" t="inlineStr"/>
      <c r="L257" s="29" t="n"/>
      <c r="M257" s="10" t="n"/>
      <c r="N257" s="29" t="n"/>
      <c r="O257" s="29" t="n"/>
      <c r="P257" s="29" t="n"/>
      <c r="Q257" s="10" t="n"/>
      <c r="R257" s="30">
        <f>IF(OR(L257="",L257="N/A"),"",IF(L257="Tidak Ada",0,IF(P257="","",IF(P257="Tidak Sesuai",0,IF(AND(N257="Ya",O257="Ya",P257="Sesuai"),1,0.5)))))</f>
        <v/>
      </c>
      <c r="S257" s="30">
        <f>IF(L257="N/A","N/A",IF(R257="","Belum dinilai",IF(R257=1,"Memenuhi",IF(R257=0,"Tidak Memenuhi","Memenuhi Sebagian"))))</f>
        <v/>
      </c>
      <c r="T257" s="31" t="inlineStr">
        <is>
          <t>1.8-1</t>
        </is>
      </c>
      <c r="U257" s="63">
        <f>IF(COUNT(R257:R259)=0,"",SUM(R257:R259)/COUNT(R257:R259))</f>
        <v/>
      </c>
    </row>
    <row r="258" ht="27" customHeight="1">
      <c r="A258" s="77" t="n"/>
      <c r="B258" s="77" t="n"/>
      <c r="C258" s="77" t="n"/>
      <c r="D258" s="77" t="n"/>
      <c r="E258" s="35" t="inlineStr">
        <is>
          <t>E</t>
        </is>
      </c>
      <c r="F258" s="77" t="n"/>
      <c r="G258" s="77" t="n"/>
      <c r="H258" s="77" t="n"/>
      <c r="I258" s="28" t="n">
        <v>2</v>
      </c>
      <c r="J258" s="62" t="inlineStr">
        <is>
          <t>SOP/Mekanisme Pelaksanaan Kerja Sama</t>
        </is>
      </c>
      <c r="K258" s="78" t="inlineStr"/>
      <c r="L258" s="29" t="n"/>
      <c r="M258" s="10" t="n"/>
      <c r="N258" s="29" t="n"/>
      <c r="O258" s="29" t="n"/>
      <c r="P258" s="29" t="n"/>
      <c r="Q258" s="10" t="n"/>
      <c r="R258" s="30">
        <f>IF(OR(L258="",L258="N/A"),"",IF(L258="Tidak Ada",0,IF(P258="","",IF(P258="Tidak Sesuai",0,IF(AND(N258="Ya",O258="Ya",P258="Sesuai"),1,0.5)))))</f>
        <v/>
      </c>
      <c r="S258" s="30">
        <f>IF(L258="N/A","N/A",IF(R258="","Belum dinilai",IF(R258=1,"Memenuhi",IF(R258=0,"Tidak Memenuhi","Memenuhi Sebagian"))))</f>
        <v/>
      </c>
      <c r="T258" s="31" t="inlineStr">
        <is>
          <t>1.8-1</t>
        </is>
      </c>
      <c r="U258" s="77" t="n"/>
    </row>
    <row r="259" ht="27" customHeight="1">
      <c r="A259" s="79" t="n"/>
      <c r="B259" s="79" t="n"/>
      <c r="C259" s="79" t="n"/>
      <c r="D259" s="79" t="n"/>
      <c r="E259" s="35" t="inlineStr">
        <is>
          <t>E</t>
        </is>
      </c>
      <c r="F259" s="79" t="n"/>
      <c r="G259" s="79" t="n"/>
      <c r="H259" s="79" t="n"/>
      <c r="I259" s="28" t="n">
        <v>3</v>
      </c>
      <c r="J259" s="62" t="inlineStr">
        <is>
          <t>Surat Keputusan/Surat Tugas Tim Pelaksana Kerja Sama, jika ada</t>
        </is>
      </c>
      <c r="K259" s="78" t="inlineStr"/>
      <c r="L259" s="29" t="n"/>
      <c r="M259" s="10" t="n"/>
      <c r="N259" s="29" t="n"/>
      <c r="O259" s="29" t="n"/>
      <c r="P259" s="29" t="n"/>
      <c r="Q259" s="10" t="n"/>
      <c r="R259" s="30">
        <f>IF(OR(L259="",L259="N/A"),"",IF(L259="Tidak Ada",0,IF(P259="","",IF(P259="Tidak Sesuai",0,IF(AND(N259="Ya",O259="Ya",P259="Sesuai"),1,0.5)))))</f>
        <v/>
      </c>
      <c r="S259" s="30">
        <f>IF(L259="N/A","N/A",IF(R259="","Belum dinilai",IF(R259=1,"Memenuhi",IF(R259=0,"Tidak Memenuhi","Memenuhi Sebagian"))))</f>
        <v/>
      </c>
      <c r="T259" s="31" t="inlineStr">
        <is>
          <t>1.8-1</t>
        </is>
      </c>
      <c r="U259" s="79" t="n"/>
    </row>
    <row r="260" ht="27" customHeight="1">
      <c r="A260" s="56" t="inlineStr">
        <is>
          <t>1.8</t>
        </is>
      </c>
      <c r="B260" s="57" t="inlineStr">
        <is>
          <t>Hubungan Kerja yang Baik dengan Instansi Pemerintah Terkait</t>
        </is>
      </c>
      <c r="C260" s="58" t="n">
        <v>2</v>
      </c>
      <c r="D260" s="59" t="inlineStr">
        <is>
          <t>Dalam rangka menciptakan hubungan kerja yang baik, K/L/D telah mengidentifikasi, menilai, dan mengelola risiko (termasuk implikasi dari transfer risiko) terkait kemitraan</t>
        </is>
      </c>
      <c r="E260" s="21" t="inlineStr">
        <is>
          <t>A</t>
        </is>
      </c>
      <c r="F260" s="60" t="inlineStr">
        <is>
          <t>A – Perbaikan Berkelanjutan</t>
        </is>
      </c>
      <c r="G260" s="60" t="inlineStr">
        <is>
          <t>Instansi Pemerintah telah memiliki kebijakan pengelolaan risiko terkait kemitraan, penerapannya telah terintegrasi dengan proses bisnis Instansi Pemerintah, telah direviu secara berkala dan dijadikan bahan pembelajaran</t>
        </is>
      </c>
      <c r="H260" s="60" t="inlineStr">
        <is>
          <t>Instansi Pemerintah telah memiliki kebijakan pengelolaan risiko terkait kemitraan, penerapannya telah terintegrasi dengan proses bisnis Instansi Pemerintah, telah direviu secara berkala dan dijadikan bahan pembelajaran</t>
        </is>
      </c>
      <c r="I260" s="22" t="n">
        <v>1</v>
      </c>
      <c r="J260" s="60" t="inlineStr">
        <is>
          <t>Laporan Reviu/Evaluasi Pengelolaan Risiko Kemitraan</t>
        </is>
      </c>
      <c r="K260" s="76" t="inlineStr"/>
      <c r="L260" s="23" t="n"/>
      <c r="M260" s="24" t="n"/>
      <c r="N260" s="23" t="n"/>
      <c r="O260" s="23" t="n"/>
      <c r="P260" s="23" t="n"/>
      <c r="Q260" s="24" t="n"/>
      <c r="R260" s="25">
        <f>IF(OR(L260="",L260="N/A"),"",IF(L260="Tidak Ada",0,IF(P260="","",IF(P260="Tidak Sesuai",0,IF(AND(N260="Ya",O260="Ya",P260="Sesuai"),1,0.5)))))</f>
        <v/>
      </c>
      <c r="S260" s="25">
        <f>IF(L260="N/A","N/A",IF(R260="","Belum dinilai",IF(R260=1,"Memenuhi",IF(R260=0,"Tidak Memenuhi","Memenuhi Sebagian"))))</f>
        <v/>
      </c>
      <c r="T260" s="26" t="inlineStr">
        <is>
          <t>1.8-2</t>
        </is>
      </c>
      <c r="U260" s="61">
        <f>IF(COUNT(R260:R264)=0,"",SUM(R260:R264)/COUNT(R260:R264))</f>
        <v/>
      </c>
    </row>
    <row r="261" ht="27" customHeight="1">
      <c r="A261" s="77" t="n"/>
      <c r="B261" s="77" t="n"/>
      <c r="C261" s="77" t="n"/>
      <c r="D261" s="77" t="n"/>
      <c r="E261" s="27" t="inlineStr">
        <is>
          <t>A</t>
        </is>
      </c>
      <c r="F261" s="77" t="n"/>
      <c r="G261" s="77" t="n"/>
      <c r="H261" s="77" t="n"/>
      <c r="I261" s="28" t="n">
        <v>2</v>
      </c>
      <c r="J261" s="62" t="inlineStr">
        <is>
          <t>Risk Register Kemitraan yang telah diperbarui</t>
        </is>
      </c>
      <c r="K261" s="78" t="inlineStr"/>
      <c r="L261" s="29" t="n"/>
      <c r="M261" s="10" t="n"/>
      <c r="N261" s="29" t="n"/>
      <c r="O261" s="29" t="n"/>
      <c r="P261" s="29" t="n"/>
      <c r="Q261" s="10" t="n"/>
      <c r="R261" s="30">
        <f>IF(OR(L261="",L261="N/A"),"",IF(L261="Tidak Ada",0,IF(P261="","",IF(P261="Tidak Sesuai",0,IF(AND(N261="Ya",O261="Ya",P261="Sesuai"),1,0.5)))))</f>
        <v/>
      </c>
      <c r="S261" s="30">
        <f>IF(L261="N/A","N/A",IF(R261="","Belum dinilai",IF(R261=1,"Memenuhi",IF(R261=0,"Tidak Memenuhi","Memenuhi Sebagian"))))</f>
        <v/>
      </c>
      <c r="T261" s="31" t="inlineStr">
        <is>
          <t>1.8-2</t>
        </is>
      </c>
      <c r="U261" s="77" t="n"/>
    </row>
    <row r="262" ht="27" customHeight="1">
      <c r="A262" s="77" t="n"/>
      <c r="B262" s="77" t="n"/>
      <c r="C262" s="77" t="n"/>
      <c r="D262" s="77" t="n"/>
      <c r="E262" s="27" t="inlineStr">
        <is>
          <t>A</t>
        </is>
      </c>
      <c r="F262" s="77" t="n"/>
      <c r="G262" s="77" t="n"/>
      <c r="H262" s="77" t="n"/>
      <c r="I262" s="28" t="n">
        <v>3</v>
      </c>
      <c r="J262" s="62" t="inlineStr">
        <is>
          <t>Matriks Tindak Lanjut Hasil Reviu</t>
        </is>
      </c>
      <c r="K262" s="78" t="inlineStr"/>
      <c r="L262" s="29" t="n"/>
      <c r="M262" s="10" t="n"/>
      <c r="N262" s="29" t="n"/>
      <c r="O262" s="29" t="n"/>
      <c r="P262" s="29" t="n"/>
      <c r="Q262" s="10" t="n"/>
      <c r="R262" s="30">
        <f>IF(OR(L262="",L262="N/A"),"",IF(L262="Tidak Ada",0,IF(P262="","",IF(P262="Tidak Sesuai",0,IF(AND(N262="Ya",O262="Ya",P262="Sesuai"),1,0.5)))))</f>
        <v/>
      </c>
      <c r="S262" s="30">
        <f>IF(L262="N/A","N/A",IF(R262="","Belum dinilai",IF(R262=1,"Memenuhi",IF(R262=0,"Tidak Memenuhi","Memenuhi Sebagian"))))</f>
        <v/>
      </c>
      <c r="T262" s="31" t="inlineStr">
        <is>
          <t>1.8-2</t>
        </is>
      </c>
      <c r="U262" s="77" t="n"/>
    </row>
    <row r="263" ht="27" customHeight="1">
      <c r="A263" s="77" t="n"/>
      <c r="B263" s="77" t="n"/>
      <c r="C263" s="77" t="n"/>
      <c r="D263" s="77" t="n"/>
      <c r="E263" s="27" t="inlineStr">
        <is>
          <t>A</t>
        </is>
      </c>
      <c r="F263" s="77" t="n"/>
      <c r="G263" s="77" t="n"/>
      <c r="H263" s="77" t="n"/>
      <c r="I263" s="28" t="n">
        <v>4</v>
      </c>
      <c r="J263" s="62" t="inlineStr">
        <is>
          <t>Dokumen perbaikan kebijakan/SOP pengelolaan risiko kemitraan</t>
        </is>
      </c>
      <c r="K263" s="78" t="inlineStr"/>
      <c r="L263" s="29" t="n"/>
      <c r="M263" s="10" t="n"/>
      <c r="N263" s="29" t="n"/>
      <c r="O263" s="29" t="n"/>
      <c r="P263" s="29" t="n"/>
      <c r="Q263" s="10" t="n"/>
      <c r="R263" s="30">
        <f>IF(OR(L263="",L263="N/A"),"",IF(L263="Tidak Ada",0,IF(P263="","",IF(P263="Tidak Sesuai",0,IF(AND(N263="Ya",O263="Ya",P263="Sesuai"),1,0.5)))))</f>
        <v/>
      </c>
      <c r="S263" s="30">
        <f>IF(L263="N/A","N/A",IF(R263="","Belum dinilai",IF(R263=1,"Memenuhi",IF(R263=0,"Tidak Memenuhi","Memenuhi Sebagian"))))</f>
        <v/>
      </c>
      <c r="T263" s="31" t="inlineStr">
        <is>
          <t>1.8-2</t>
        </is>
      </c>
      <c r="U263" s="77" t="n"/>
    </row>
    <row r="264" ht="39" customHeight="1">
      <c r="A264" s="77" t="n"/>
      <c r="B264" s="77" t="n"/>
      <c r="C264" s="77" t="n"/>
      <c r="D264" s="77" t="n"/>
      <c r="E264" s="27" t="inlineStr">
        <is>
          <t>A</t>
        </is>
      </c>
      <c r="F264" s="79" t="n"/>
      <c r="G264" s="79" t="n"/>
      <c r="H264" s="79" t="n"/>
      <c r="I264" s="28" t="n">
        <v>5</v>
      </c>
      <c r="J264" s="62" t="inlineStr">
        <is>
          <t>Dokumen pembelajaran/lesson learned hasil pengelolaan risiko kemitraan, jika ada</t>
        </is>
      </c>
      <c r="K264" s="78" t="inlineStr"/>
      <c r="L264" s="29" t="n"/>
      <c r="M264" s="10" t="n"/>
      <c r="N264" s="29" t="n"/>
      <c r="O264" s="29" t="n"/>
      <c r="P264" s="29" t="n"/>
      <c r="Q264" s="10" t="n"/>
      <c r="R264" s="30">
        <f>IF(OR(L264="",L264="N/A"),"",IF(L264="Tidak Ada",0,IF(P264="","",IF(P264="Tidak Sesuai",0,IF(AND(N264="Ya",O264="Ya",P264="Sesuai"),1,0.5)))))</f>
        <v/>
      </c>
      <c r="S264" s="30">
        <f>IF(L264="N/A","N/A",IF(R264="","Belum dinilai",IF(R264=1,"Memenuhi",IF(R264=0,"Tidak Memenuhi","Memenuhi Sebagian"))))</f>
        <v/>
      </c>
      <c r="T264" s="31" t="inlineStr">
        <is>
          <t>1.8-2</t>
        </is>
      </c>
      <c r="U264" s="79" t="n"/>
    </row>
    <row r="265" ht="27" customHeight="1">
      <c r="A265" s="77" t="n"/>
      <c r="B265" s="77" t="n"/>
      <c r="C265" s="77" t="n"/>
      <c r="D265" s="77" t="n"/>
      <c r="E265" s="32" t="inlineStr">
        <is>
          <t>B</t>
        </is>
      </c>
      <c r="F265" s="62" t="inlineStr">
        <is>
          <t>B – Evaluasi &amp; Tindak Lanjut</t>
        </is>
      </c>
      <c r="G265" s="62" t="inlineStr">
        <is>
          <t>Instansi Pemerintah telah memiliki kebijakan pengelolaan risiko terkait kemitraan dan penerapannya telah terintegrasi dengan proses bisnis Instansi Pemerintah</t>
        </is>
      </c>
      <c r="H265" s="62" t="inlineStr">
        <is>
          <t>Instansi Pemerintah telah memiliki kebijakan pengelolaan risiko terkait kemitraan dan penerapannya telah terintegrasi dengan proses bisnis Instansi Pemerintah</t>
        </is>
      </c>
      <c r="I265" s="28" t="n">
        <v>1</v>
      </c>
      <c r="J265" s="62" t="inlineStr">
        <is>
          <t>Dokumen Perencanaan Kegiatan Kemitraan yang memuat risiko</t>
        </is>
      </c>
      <c r="K265" s="78" t="inlineStr"/>
      <c r="L265" s="29" t="n"/>
      <c r="M265" s="10" t="n"/>
      <c r="N265" s="29" t="n"/>
      <c r="O265" s="29" t="n"/>
      <c r="P265" s="29" t="n"/>
      <c r="Q265" s="10" t="n"/>
      <c r="R265" s="30">
        <f>IF(OR(L265="",L265="N/A"),"",IF(L265="Tidak Ada",0,IF(P265="","",IF(P265="Tidak Sesuai",0,IF(AND(N265="Ya",O265="Ya",P265="Sesuai"),1,0.5)))))</f>
        <v/>
      </c>
      <c r="S265" s="30">
        <f>IF(L265="N/A","N/A",IF(R265="","Belum dinilai",IF(R265=1,"Memenuhi",IF(R265=0,"Tidak Memenuhi","Memenuhi Sebagian"))))</f>
        <v/>
      </c>
      <c r="T265" s="31" t="inlineStr">
        <is>
          <t>1.8-2</t>
        </is>
      </c>
      <c r="U265" s="63">
        <f>IF(COUNT(R265:R269)=0,"",SUM(R265:R269)/COUNT(R265:R269))</f>
        <v/>
      </c>
    </row>
    <row r="266" ht="27" customHeight="1">
      <c r="A266" s="77" t="n"/>
      <c r="B266" s="77" t="n"/>
      <c r="C266" s="77" t="n"/>
      <c r="D266" s="77" t="n"/>
      <c r="E266" s="32" t="inlineStr">
        <is>
          <t>B</t>
        </is>
      </c>
      <c r="F266" s="77" t="n"/>
      <c r="G266" s="77" t="n"/>
      <c r="H266" s="77" t="n"/>
      <c r="I266" s="28" t="n">
        <v>2</v>
      </c>
      <c r="J266" s="62" t="inlineStr">
        <is>
          <t>Risk Register Kemitraan</t>
        </is>
      </c>
      <c r="K266" s="78" t="inlineStr"/>
      <c r="L266" s="29" t="n"/>
      <c r="M266" s="10" t="n"/>
      <c r="N266" s="29" t="n"/>
      <c r="O266" s="29" t="n"/>
      <c r="P266" s="29" t="n"/>
      <c r="Q266" s="10" t="n"/>
      <c r="R266" s="30">
        <f>IF(OR(L266="",L266="N/A"),"",IF(L266="Tidak Ada",0,IF(P266="","",IF(P266="Tidak Sesuai",0,IF(AND(N266="Ya",O266="Ya",P266="Sesuai"),1,0.5)))))</f>
        <v/>
      </c>
      <c r="S266" s="30">
        <f>IF(L266="N/A","N/A",IF(R266="","Belum dinilai",IF(R266=1,"Memenuhi",IF(R266=0,"Tidak Memenuhi","Memenuhi Sebagian"))))</f>
        <v/>
      </c>
      <c r="T266" s="31" t="inlineStr">
        <is>
          <t>1.8-2</t>
        </is>
      </c>
      <c r="U266" s="77" t="n"/>
    </row>
    <row r="267" ht="27" customHeight="1">
      <c r="A267" s="77" t="n"/>
      <c r="B267" s="77" t="n"/>
      <c r="C267" s="77" t="n"/>
      <c r="D267" s="77" t="n"/>
      <c r="E267" s="32" t="inlineStr">
        <is>
          <t>B</t>
        </is>
      </c>
      <c r="F267" s="77" t="n"/>
      <c r="G267" s="77" t="n"/>
      <c r="H267" s="77" t="n"/>
      <c r="I267" s="28" t="n">
        <v>3</v>
      </c>
      <c r="J267" s="62" t="inlineStr">
        <is>
          <t>Rencana Mitigasi Risiko</t>
        </is>
      </c>
      <c r="K267" s="78" t="inlineStr"/>
      <c r="L267" s="29" t="n"/>
      <c r="M267" s="10" t="n"/>
      <c r="N267" s="29" t="n"/>
      <c r="O267" s="29" t="n"/>
      <c r="P267" s="29" t="n"/>
      <c r="Q267" s="10" t="n"/>
      <c r="R267" s="30">
        <f>IF(OR(L267="",L267="N/A"),"",IF(L267="Tidak Ada",0,IF(P267="","",IF(P267="Tidak Sesuai",0,IF(AND(N267="Ya",O267="Ya",P267="Sesuai"),1,0.5)))))</f>
        <v/>
      </c>
      <c r="S267" s="30">
        <f>IF(L267="N/A","N/A",IF(R267="","Belum dinilai",IF(R267=1,"Memenuhi",IF(R267=0,"Tidak Memenuhi","Memenuhi Sebagian"))))</f>
        <v/>
      </c>
      <c r="T267" s="31" t="inlineStr">
        <is>
          <t>1.8-2</t>
        </is>
      </c>
      <c r="U267" s="77" t="n"/>
    </row>
    <row r="268" ht="39" customHeight="1">
      <c r="A268" s="77" t="n"/>
      <c r="B268" s="77" t="n"/>
      <c r="C268" s="77" t="n"/>
      <c r="D268" s="77" t="n"/>
      <c r="E268" s="32" t="inlineStr">
        <is>
          <t>B</t>
        </is>
      </c>
      <c r="F268" s="77" t="n"/>
      <c r="G268" s="77" t="n"/>
      <c r="H268" s="77" t="n"/>
      <c r="I268" s="28" t="n">
        <v>4</v>
      </c>
      <c r="J268" s="62" t="inlineStr">
        <is>
          <t>Dokumen Kinerja/Perjanjian Kinerja yang mempertimbangkan risiko kemitraan</t>
        </is>
      </c>
      <c r="K268" s="78" t="inlineStr"/>
      <c r="L268" s="29" t="n"/>
      <c r="M268" s="10" t="n"/>
      <c r="N268" s="29" t="n"/>
      <c r="O268" s="29" t="n"/>
      <c r="P268" s="29" t="n"/>
      <c r="Q268" s="10" t="n"/>
      <c r="R268" s="30">
        <f>IF(OR(L268="",L268="N/A"),"",IF(L268="Tidak Ada",0,IF(P268="","",IF(P268="Tidak Sesuai",0,IF(AND(N268="Ya",O268="Ya",P268="Sesuai"),1,0.5)))))</f>
        <v/>
      </c>
      <c r="S268" s="30">
        <f>IF(L268="N/A","N/A",IF(R268="","Belum dinilai",IF(R268=1,"Memenuhi",IF(R268=0,"Tidak Memenuhi","Memenuhi Sebagian"))))</f>
        <v/>
      </c>
      <c r="T268" s="31" t="inlineStr">
        <is>
          <t>1.8-2</t>
        </is>
      </c>
      <c r="U268" s="77" t="n"/>
    </row>
    <row r="269" ht="39" customHeight="1">
      <c r="A269" s="77" t="n"/>
      <c r="B269" s="77" t="n"/>
      <c r="C269" s="77" t="n"/>
      <c r="D269" s="77" t="n"/>
      <c r="E269" s="32" t="inlineStr">
        <is>
          <t>B</t>
        </is>
      </c>
      <c r="F269" s="79" t="n"/>
      <c r="G269" s="79" t="n"/>
      <c r="H269" s="79" t="n"/>
      <c r="I269" s="28" t="n">
        <v>5</v>
      </c>
      <c r="J269" s="62" t="inlineStr">
        <is>
          <t>Notulen/BA Rapat Pengambilan Keputusan yang mempertimbangkan risiko kemitraan, jika ada</t>
        </is>
      </c>
      <c r="K269" s="78" t="inlineStr"/>
      <c r="L269" s="29" t="n"/>
      <c r="M269" s="10" t="n"/>
      <c r="N269" s="29" t="n"/>
      <c r="O269" s="29" t="n"/>
      <c r="P269" s="29" t="n"/>
      <c r="Q269" s="10" t="n"/>
      <c r="R269" s="30">
        <f>IF(OR(L269="",L269="N/A"),"",IF(L269="Tidak Ada",0,IF(P269="","",IF(P269="Tidak Sesuai",0,IF(AND(N269="Ya",O269="Ya",P269="Sesuai"),1,0.5)))))</f>
        <v/>
      </c>
      <c r="S269" s="30">
        <f>IF(L269="N/A","N/A",IF(R269="","Belum dinilai",IF(R269=1,"Memenuhi",IF(R269=0,"Tidak Memenuhi","Memenuhi Sebagian"))))</f>
        <v/>
      </c>
      <c r="T269" s="31" t="inlineStr">
        <is>
          <t>1.8-2</t>
        </is>
      </c>
      <c r="U269" s="79" t="n"/>
    </row>
    <row r="270" ht="27" customHeight="1">
      <c r="A270" s="77" t="n"/>
      <c r="B270" s="77" t="n"/>
      <c r="C270" s="77" t="n"/>
      <c r="D270" s="77" t="n"/>
      <c r="E270" s="33" t="inlineStr">
        <is>
          <t>C</t>
        </is>
      </c>
      <c r="F270" s="62" t="inlineStr">
        <is>
          <t>C – Implementasi</t>
        </is>
      </c>
      <c r="G270" s="62" t="inlineStr">
        <is>
          <t>Instansi Pemerintah telah memiliki kebijakan pengelolaan risiko terkait kemitraan dan telah diterapkan dengan memadai</t>
        </is>
      </c>
      <c r="H270" s="62" t="inlineStr">
        <is>
          <t>Instansi Pemerintah telah memiliki kebijakan pengelolaan risiko terkait kemitraan dan telah diterapkan dengan memadai</t>
        </is>
      </c>
      <c r="I270" s="28" t="n">
        <v>1</v>
      </c>
      <c r="J270" s="62" t="inlineStr">
        <is>
          <t>Daftar/Inventarisasi Kemitraan/Kerja Sama</t>
        </is>
      </c>
      <c r="K270" s="78" t="inlineStr"/>
      <c r="L270" s="29" t="n"/>
      <c r="M270" s="10" t="n"/>
      <c r="N270" s="29" t="n"/>
      <c r="O270" s="29" t="n"/>
      <c r="P270" s="29" t="n"/>
      <c r="Q270" s="10" t="n"/>
      <c r="R270" s="30">
        <f>IF(OR(L270="",L270="N/A"),"",IF(L270="Tidak Ada",0,IF(P270="","",IF(P270="Tidak Sesuai",0,IF(AND(N270="Ya",O270="Ya",P270="Sesuai"),1,0.5)))))</f>
        <v/>
      </c>
      <c r="S270" s="30">
        <f>IF(L270="N/A","N/A",IF(R270="","Belum dinilai",IF(R270=1,"Memenuhi",IF(R270=0,"Tidak Memenuhi","Memenuhi Sebagian"))))</f>
        <v/>
      </c>
      <c r="T270" s="31" t="inlineStr">
        <is>
          <t>1.8-2</t>
        </is>
      </c>
      <c r="U270" s="63">
        <f>IF(COUNT(R270:R274)=0,"",SUM(R270:R274)/COUNT(R270:R274))</f>
        <v/>
      </c>
    </row>
    <row r="271" ht="27" customHeight="1">
      <c r="A271" s="77" t="n"/>
      <c r="B271" s="77" t="n"/>
      <c r="C271" s="77" t="n"/>
      <c r="D271" s="77" t="n"/>
      <c r="E271" s="33" t="inlineStr">
        <is>
          <t>C</t>
        </is>
      </c>
      <c r="F271" s="77" t="n"/>
      <c r="G271" s="77" t="n"/>
      <c r="H271" s="77" t="n"/>
      <c r="I271" s="28" t="n">
        <v>2</v>
      </c>
      <c r="J271" s="62" t="inlineStr">
        <is>
          <t>Risk Register masing-masing Kemitraan Penting</t>
        </is>
      </c>
      <c r="K271" s="78" t="inlineStr"/>
      <c r="L271" s="29" t="inlineStr">
        <is>
          <t>Ada</t>
        </is>
      </c>
      <c r="M271" s="66" t="inlineStr">
        <is>
          <t>RR Kemitraan</t>
        </is>
      </c>
      <c r="N271" s="29" t="inlineStr">
        <is>
          <t>Ya</t>
        </is>
      </c>
      <c r="O271" s="29" t="inlineStr">
        <is>
          <t>Ya</t>
        </is>
      </c>
      <c r="P271" s="29" t="inlineStr">
        <is>
          <t>Sesuai</t>
        </is>
      </c>
      <c r="Q271" s="10" t="n"/>
      <c r="R271" s="30">
        <f>IF(OR(L271="",L271="N/A"),"",IF(L271="Tidak Ada",0,IF(P271="","",IF(P271="Tidak Sesuai",0,IF(AND(N271="Ya",O271="Ya",P271="Sesuai"),1,0.5)))))</f>
        <v/>
      </c>
      <c r="S271" s="30">
        <f>IF(L271="N/A","N/A",IF(R271="","Belum dinilai",IF(R271=1,"Memenuhi",IF(R271=0,"Tidak Memenuhi","Memenuhi Sebagian"))))</f>
        <v/>
      </c>
      <c r="T271" s="31" t="inlineStr">
        <is>
          <t>1.8-2</t>
        </is>
      </c>
      <c r="U271" s="77" t="n"/>
      <c r="V271" t="inlineStr">
        <is>
          <t>acc disini</t>
        </is>
      </c>
    </row>
    <row r="272" ht="27" customHeight="1">
      <c r="A272" s="77" t="n"/>
      <c r="B272" s="77" t="n"/>
      <c r="C272" s="77" t="n"/>
      <c r="D272" s="77" t="n"/>
      <c r="E272" s="33" t="inlineStr">
        <is>
          <t>C</t>
        </is>
      </c>
      <c r="F272" s="77" t="n"/>
      <c r="G272" s="77" t="n"/>
      <c r="H272" s="77" t="n"/>
      <c r="I272" s="28" t="n">
        <v>3</v>
      </c>
      <c r="J272" s="62" t="inlineStr">
        <is>
          <t>Dokumen Identifikasi dan Penilaian Risiko Kemitraan</t>
        </is>
      </c>
      <c r="K272" s="78" t="inlineStr"/>
      <c r="L272" s="29" t="n"/>
      <c r="M272" s="10" t="n"/>
      <c r="N272" s="29" t="n"/>
      <c r="O272" s="29" t="n"/>
      <c r="P272" s="29" t="n"/>
      <c r="Q272" s="10" t="n"/>
      <c r="R272" s="30">
        <f>IF(OR(L272="",L272="N/A"),"",IF(L272="Tidak Ada",0,IF(P272="","",IF(P272="Tidak Sesuai",0,IF(AND(N272="Ya",O272="Ya",P272="Sesuai"),1,0.5)))))</f>
        <v/>
      </c>
      <c r="S272" s="30">
        <f>IF(L272="N/A","N/A",IF(R272="","Belum dinilai",IF(R272=1,"Memenuhi",IF(R272=0,"Tidak Memenuhi","Memenuhi Sebagian"))))</f>
        <v/>
      </c>
      <c r="T272" s="31" t="inlineStr">
        <is>
          <t>1.8-2</t>
        </is>
      </c>
      <c r="U272" s="77" t="n"/>
    </row>
    <row r="273" ht="27" customHeight="1">
      <c r="A273" s="77" t="n"/>
      <c r="B273" s="77" t="n"/>
      <c r="C273" s="77" t="n"/>
      <c r="D273" s="77" t="n"/>
      <c r="E273" s="33" t="inlineStr">
        <is>
          <t>C</t>
        </is>
      </c>
      <c r="F273" s="77" t="n"/>
      <c r="G273" s="77" t="n"/>
      <c r="H273" s="77" t="n"/>
      <c r="I273" s="28" t="n">
        <v>4</v>
      </c>
      <c r="J273" s="62" t="inlineStr">
        <is>
          <t>Rencana/Tindakan Mitigasi Risiko Kemitraan</t>
        </is>
      </c>
      <c r="K273" s="78" t="inlineStr"/>
      <c r="L273" s="29" t="n"/>
      <c r="M273" s="10" t="n"/>
      <c r="N273" s="29" t="n"/>
      <c r="O273" s="29" t="n"/>
      <c r="P273" s="29" t="n"/>
      <c r="Q273" s="10" t="n"/>
      <c r="R273" s="30">
        <f>IF(OR(L273="",L273="N/A"),"",IF(L273="Tidak Ada",0,IF(P273="","",IF(P273="Tidak Sesuai",0,IF(AND(N273="Ya",O273="Ya",P273="Sesuai"),1,0.5)))))</f>
        <v/>
      </c>
      <c r="S273" s="30">
        <f>IF(L273="N/A","N/A",IF(R273="","Belum dinilai",IF(R273=1,"Memenuhi",IF(R273=0,"Tidak Memenuhi","Memenuhi Sebagian"))))</f>
        <v/>
      </c>
      <c r="T273" s="31" t="inlineStr">
        <is>
          <t>1.8-2</t>
        </is>
      </c>
      <c r="U273" s="77" t="n"/>
    </row>
    <row r="274" ht="27" customHeight="1">
      <c r="A274" s="77" t="n"/>
      <c r="B274" s="77" t="n"/>
      <c r="C274" s="77" t="n"/>
      <c r="D274" s="77" t="n"/>
      <c r="E274" s="33" t="inlineStr">
        <is>
          <t>C</t>
        </is>
      </c>
      <c r="F274" s="79" t="n"/>
      <c r="G274" s="79" t="n"/>
      <c r="H274" s="79" t="n"/>
      <c r="I274" s="28" t="n">
        <v>5</v>
      </c>
      <c r="J274" s="62" t="inlineStr">
        <is>
          <t>Monitoring Pelaksanaan Mitigasi Risiko</t>
        </is>
      </c>
      <c r="K274" s="78" t="inlineStr"/>
      <c r="L274" s="29" t="n"/>
      <c r="M274" s="10" t="n"/>
      <c r="N274" s="29" t="n"/>
      <c r="O274" s="29" t="n"/>
      <c r="P274" s="29" t="n"/>
      <c r="Q274" s="10" t="n"/>
      <c r="R274" s="30">
        <f>IF(OR(L274="",L274="N/A"),"",IF(L274="Tidak Ada",0,IF(P274="","",IF(P274="Tidak Sesuai",0,IF(AND(N274="Ya",O274="Ya",P274="Sesuai"),1,0.5)))))</f>
        <v/>
      </c>
      <c r="S274" s="30">
        <f>IF(L274="N/A","N/A",IF(R274="","Belum dinilai",IF(R274=1,"Memenuhi",IF(R274=0,"Tidak Memenuhi","Memenuhi Sebagian"))))</f>
        <v/>
      </c>
      <c r="T274" s="31" t="inlineStr">
        <is>
          <t>1.8-2</t>
        </is>
      </c>
      <c r="U274" s="79" t="n"/>
    </row>
    <row r="275" ht="27" customHeight="1">
      <c r="A275" s="77" t="n"/>
      <c r="B275" s="77" t="n"/>
      <c r="C275" s="77" t="n"/>
      <c r="D275" s="77" t="n"/>
      <c r="E275" s="34" t="inlineStr">
        <is>
          <t>D</t>
        </is>
      </c>
      <c r="F275" s="62" t="inlineStr">
        <is>
          <t>D – Komunikasi &amp; Pemahaman</t>
        </is>
      </c>
      <c r="G275" s="62" t="inlineStr">
        <is>
          <t>Instansi Pemerintah telah memiliki kebijakan pengelolaan risiko terkait kemitraan namun belum diterapkan dengan memadai</t>
        </is>
      </c>
      <c r="H275" s="62" t="inlineStr">
        <is>
          <t>Instansi Pemerintah telah memiliki kebijakan pengelolaan risiko terkait kemitraan namun belum diterapkan dengan memadai</t>
        </is>
      </c>
      <c r="I275" s="28" t="n">
        <v>1</v>
      </c>
      <c r="J275" s="62" t="inlineStr">
        <is>
          <t>Kebijakan/Pedoman Manajemen Risiko</t>
        </is>
      </c>
      <c r="K275" s="78" t="inlineStr"/>
      <c r="L275" s="29" t="n"/>
      <c r="M275" s="10" t="n"/>
      <c r="N275" s="29" t="n"/>
      <c r="O275" s="29" t="n"/>
      <c r="P275" s="29" t="n"/>
      <c r="Q275" s="10" t="n"/>
      <c r="R275" s="30">
        <f>IF(OR(L275="",L275="N/A"),"",IF(L275="Tidak Ada",0,IF(P275="","",IF(P275="Tidak Sesuai",0,IF(AND(N275="Ya",O275="Ya",P275="Sesuai"),1,0.5)))))</f>
        <v/>
      </c>
      <c r="S275" s="30">
        <f>IF(L275="N/A","N/A",IF(R275="","Belum dinilai",IF(R275=1,"Memenuhi",IF(R275=0,"Tidak Memenuhi","Memenuhi Sebagian"))))</f>
        <v/>
      </c>
      <c r="T275" s="31" t="inlineStr">
        <is>
          <t>1.8-2</t>
        </is>
      </c>
      <c r="U275" s="63">
        <f>IF(COUNT(R275:R278)=0,"",SUM(R275:R278)/COUNT(R275:R278))</f>
        <v/>
      </c>
    </row>
    <row r="276" ht="27" customHeight="1">
      <c r="A276" s="77" t="n"/>
      <c r="B276" s="77" t="n"/>
      <c r="C276" s="77" t="n"/>
      <c r="D276" s="77" t="n"/>
      <c r="E276" s="34" t="inlineStr">
        <is>
          <t>D</t>
        </is>
      </c>
      <c r="F276" s="77" t="n"/>
      <c r="G276" s="77" t="n"/>
      <c r="H276" s="77" t="n"/>
      <c r="I276" s="28" t="n">
        <v>2</v>
      </c>
      <c r="J276" s="62" t="inlineStr">
        <is>
          <t>Risk Register Kemitraan/Kerja Sama</t>
        </is>
      </c>
      <c r="K276" s="78" t="inlineStr"/>
      <c r="L276" s="29" t="n"/>
      <c r="M276" s="10" t="n"/>
      <c r="N276" s="29" t="n"/>
      <c r="O276" s="29" t="n"/>
      <c r="P276" s="29" t="n"/>
      <c r="Q276" s="10" t="n"/>
      <c r="R276" s="30">
        <f>IF(OR(L276="",L276="N/A"),"",IF(L276="Tidak Ada",0,IF(P276="","",IF(P276="Tidak Sesuai",0,IF(AND(N276="Ya",O276="Ya",P276="Sesuai"),1,0.5)))))</f>
        <v/>
      </c>
      <c r="S276" s="30">
        <f>IF(L276="N/A","N/A",IF(R276="","Belum dinilai",IF(R276=1,"Memenuhi",IF(R276=0,"Tidak Memenuhi","Memenuhi Sebagian"))))</f>
        <v/>
      </c>
      <c r="T276" s="31" t="inlineStr">
        <is>
          <t>1.8-2</t>
        </is>
      </c>
      <c r="U276" s="77" t="n"/>
    </row>
    <row r="277" ht="27" customHeight="1">
      <c r="A277" s="77" t="n"/>
      <c r="B277" s="77" t="n"/>
      <c r="C277" s="77" t="n"/>
      <c r="D277" s="77" t="n"/>
      <c r="E277" s="34" t="inlineStr">
        <is>
          <t>D</t>
        </is>
      </c>
      <c r="F277" s="77" t="n"/>
      <c r="G277" s="77" t="n"/>
      <c r="H277" s="77" t="n"/>
      <c r="I277" s="28" t="n">
        <v>3</v>
      </c>
      <c r="J277" s="62" t="inlineStr">
        <is>
          <t>Dokumen Identifikasi dan Penilaian Risiko Kemitraan</t>
        </is>
      </c>
      <c r="K277" s="78" t="inlineStr"/>
      <c r="L277" s="29" t="n"/>
      <c r="M277" s="10" t="n"/>
      <c r="N277" s="29" t="n"/>
      <c r="O277" s="29" t="n"/>
      <c r="P277" s="29" t="n"/>
      <c r="Q277" s="10" t="n"/>
      <c r="R277" s="30">
        <f>IF(OR(L277="",L277="N/A"),"",IF(L277="Tidak Ada",0,IF(P277="","",IF(P277="Tidak Sesuai",0,IF(AND(N277="Ya",O277="Ya",P277="Sesuai"),1,0.5)))))</f>
        <v/>
      </c>
      <c r="S277" s="30">
        <f>IF(L277="N/A","N/A",IF(R277="","Belum dinilai",IF(R277=1,"Memenuhi",IF(R277=0,"Tidak Memenuhi","Memenuhi Sebagian"))))</f>
        <v/>
      </c>
      <c r="T277" s="31" t="inlineStr">
        <is>
          <t>1.8-2</t>
        </is>
      </c>
      <c r="U277" s="77" t="n"/>
    </row>
    <row r="278" ht="27" customHeight="1">
      <c r="A278" s="77" t="n"/>
      <c r="B278" s="77" t="n"/>
      <c r="C278" s="77" t="n"/>
      <c r="D278" s="77" t="n"/>
      <c r="E278" s="34" t="inlineStr">
        <is>
          <t>D</t>
        </is>
      </c>
      <c r="F278" s="79" t="n"/>
      <c r="G278" s="79" t="n"/>
      <c r="H278" s="79" t="n"/>
      <c r="I278" s="28" t="n">
        <v>4</v>
      </c>
      <c r="J278" s="62" t="inlineStr">
        <is>
          <t>Rencana Mitigasi Risiko Kemitraan</t>
        </is>
      </c>
      <c r="K278" s="78" t="inlineStr"/>
      <c r="L278" s="29" t="n"/>
      <c r="M278" s="10" t="n"/>
      <c r="N278" s="29" t="n"/>
      <c r="O278" s="29" t="n"/>
      <c r="P278" s="29" t="n"/>
      <c r="Q278" s="10" t="n"/>
      <c r="R278" s="30">
        <f>IF(OR(L278="",L278="N/A"),"",IF(L278="Tidak Ada",0,IF(P278="","",IF(P278="Tidak Sesuai",0,IF(AND(N278="Ya",O278="Ya",P278="Sesuai"),1,0.5)))))</f>
        <v/>
      </c>
      <c r="S278" s="30">
        <f>IF(L278="N/A","N/A",IF(R278="","Belum dinilai",IF(R278=1,"Memenuhi",IF(R278=0,"Tidak Memenuhi","Memenuhi Sebagian"))))</f>
        <v/>
      </c>
      <c r="T278" s="31" t="inlineStr">
        <is>
          <t>1.8-2</t>
        </is>
      </c>
      <c r="U278" s="79" t="n"/>
    </row>
    <row r="279" ht="51" customHeight="1">
      <c r="A279" s="77" t="n"/>
      <c r="B279" s="77" t="n"/>
      <c r="C279" s="77" t="n"/>
      <c r="D279" s="77" t="n"/>
      <c r="E279" s="35" t="inlineStr">
        <is>
          <t>E</t>
        </is>
      </c>
      <c r="F279" s="62" t="inlineStr">
        <is>
          <t>E – Kebijakan/Formalitas</t>
        </is>
      </c>
      <c r="G279" s="62" t="inlineStr">
        <is>
          <t>Instansi Pemerintah telah memiliki kebijakan pengelolaan risiko terkait kemitraan namun belum diterapkan sama sekali</t>
        </is>
      </c>
      <c r="H279" s="62" t="inlineStr">
        <is>
          <t>Organisasi telah memiliki/menetapkan instansi pemerintah telah memiliki kebijakan pengelolaan risiko terkait kemitraan namun belum diterapkan sama sekali</t>
        </is>
      </c>
      <c r="I279" s="28" t="n">
        <v>1</v>
      </c>
      <c r="J279" s="62" t="inlineStr">
        <is>
          <t>Kebijakan/Pedoman Manajemen Risiko</t>
        </is>
      </c>
      <c r="K279" s="78" t="inlineStr"/>
      <c r="L279" s="29" t="n"/>
      <c r="M279" s="10" t="n"/>
      <c r="N279" s="29" t="n"/>
      <c r="O279" s="29" t="n"/>
      <c r="P279" s="29" t="n"/>
      <c r="Q279" s="10" t="n"/>
      <c r="R279" s="30">
        <f>IF(OR(L279="",L279="N/A"),"",IF(L279="Tidak Ada",0,IF(P279="","",IF(P279="Tidak Sesuai",0,IF(AND(N279="Ya",O279="Ya",P279="Sesuai"),1,0.5)))))</f>
        <v/>
      </c>
      <c r="S279" s="30">
        <f>IF(L279="N/A","N/A",IF(R279="","Belum dinilai",IF(R279=1,"Memenuhi",IF(R279=0,"Tidak Memenuhi","Memenuhi Sebagian"))))</f>
        <v/>
      </c>
      <c r="T279" s="31" t="inlineStr">
        <is>
          <t>1.8-2</t>
        </is>
      </c>
      <c r="U279" s="63">
        <f>IF(COUNT(R279:R280)=0,"",SUM(R279:R280)/COUNT(R279:R280))</f>
        <v/>
      </c>
    </row>
    <row r="280" ht="51" customHeight="1">
      <c r="A280" s="79" t="n"/>
      <c r="B280" s="79" t="n"/>
      <c r="C280" s="79" t="n"/>
      <c r="D280" s="79" t="n"/>
      <c r="E280" s="35" t="inlineStr">
        <is>
          <t>E</t>
        </is>
      </c>
      <c r="F280" s="79" t="n"/>
      <c r="G280" s="79" t="n"/>
      <c r="H280" s="79" t="n"/>
      <c r="I280" s="28" t="n">
        <v>2</v>
      </c>
      <c r="J280" s="62" t="inlineStr">
        <is>
          <t>SOP/Pedoman Pengelolaan Risiko Kemitraan/ Kerja Sama, jika ada</t>
        </is>
      </c>
      <c r="K280" s="78" t="inlineStr"/>
      <c r="L280" s="29" t="n"/>
      <c r="M280" s="10" t="n"/>
      <c r="N280" s="29" t="n"/>
      <c r="O280" s="29" t="n"/>
      <c r="P280" s="29" t="n"/>
      <c r="Q280" s="10" t="n"/>
      <c r="R280" s="30">
        <f>IF(OR(L280="",L280="N/A"),"",IF(L280="Tidak Ada",0,IF(P280="","",IF(P280="Tidak Sesuai",0,IF(AND(N280="Ya",O280="Ya",P280="Sesuai"),1,0.5)))))</f>
        <v/>
      </c>
      <c r="S280" s="30">
        <f>IF(L280="N/A","N/A",IF(R280="","Belum dinilai",IF(R280=1,"Memenuhi",IF(R280=0,"Tidak Memenuhi","Memenuhi Sebagian"))))</f>
        <v/>
      </c>
      <c r="T280" s="31" t="inlineStr">
        <is>
          <t>1.8-2</t>
        </is>
      </c>
      <c r="U280" s="79" t="n"/>
    </row>
    <row r="281" ht="27" customHeight="1">
      <c r="A281" s="56" t="inlineStr">
        <is>
          <t>2.1</t>
        </is>
      </c>
      <c r="B281" s="57" t="inlineStr">
        <is>
          <t>Identifikasi Risiko</t>
        </is>
      </c>
      <c r="C281" s="58" t="n">
        <v>1</v>
      </c>
      <c r="D281" s="59" t="inlineStr">
        <is>
          <t>K/L/D telah memiliki Kebijakan Manajemen Risiko</t>
        </is>
      </c>
      <c r="E281" s="21" t="inlineStr">
        <is>
          <t>A</t>
        </is>
      </c>
      <c r="F281" s="60" t="inlineStr">
        <is>
          <t>A – Perbaikan Berkelanjutan</t>
        </is>
      </c>
      <c r="G281" s="60" t="inlineStr">
        <is>
          <t>K/L/D telah memiliki Kebijakan Manajemen Risiko yang memadai, terintegrasi serta telah direviu secara berkala</t>
        </is>
      </c>
      <c r="H281" s="60" t="inlineStr">
        <is>
          <t>Memiliki Kebijakan Manajemen Risiko yang memadai, terintegrasi serta telah direviu secara berkala</t>
        </is>
      </c>
      <c r="I281" s="22" t="n">
        <v>1</v>
      </c>
      <c r="J281" s="60" t="inlineStr">
        <is>
          <t>Laporan Reviu/Evaluasi Kebijakan Manajemen Risiko</t>
        </is>
      </c>
      <c r="K281" s="76" t="inlineStr"/>
      <c r="L281" s="23" t="n"/>
      <c r="M281" s="24" t="n"/>
      <c r="N281" s="23" t="n"/>
      <c r="O281" s="23" t="n"/>
      <c r="P281" s="23" t="n"/>
      <c r="Q281" s="24" t="n"/>
      <c r="R281" s="25">
        <f>IF(OR(L281="",L281="N/A"),"",IF(L281="Tidak Ada",0,IF(P281="","",IF(P281="Tidak Sesuai",0,IF(AND(N281="Ya",O281="Ya",P281="Sesuai"),1,0.5)))))</f>
        <v/>
      </c>
      <c r="S281" s="25">
        <f>IF(L281="N/A","N/A",IF(R281="","Belum dinilai",IF(R281=1,"Memenuhi",IF(R281=0,"Tidak Memenuhi","Memenuhi Sebagian"))))</f>
        <v/>
      </c>
      <c r="T281" s="26" t="inlineStr">
        <is>
          <t>2.1-1</t>
        </is>
      </c>
      <c r="U281" s="61">
        <f>IF(COUNT(R281:R285)=0,"",SUM(R281:R285)/COUNT(R281:R285))</f>
        <v/>
      </c>
    </row>
    <row r="282" ht="27" customHeight="1">
      <c r="A282" s="77" t="n"/>
      <c r="B282" s="77" t="n"/>
      <c r="C282" s="77" t="n"/>
      <c r="D282" s="77" t="n"/>
      <c r="E282" s="27" t="inlineStr">
        <is>
          <t>A</t>
        </is>
      </c>
      <c r="F282" s="77" t="n"/>
      <c r="G282" s="77" t="n"/>
      <c r="H282" s="77" t="n"/>
      <c r="I282" s="28" t="n">
        <v>2</v>
      </c>
      <c r="J282" s="62" t="inlineStr">
        <is>
          <t>Risk Register yang telah diperbarui berdasarkan hasil reviu</t>
        </is>
      </c>
      <c r="K282" s="78" t="inlineStr"/>
      <c r="L282" s="29" t="n"/>
      <c r="M282" s="10" t="n"/>
      <c r="N282" s="29" t="n"/>
      <c r="O282" s="29" t="n"/>
      <c r="P282" s="29" t="n"/>
      <c r="Q282" s="10" t="n"/>
      <c r="R282" s="30">
        <f>IF(OR(L282="",L282="N/A"),"",IF(L282="Tidak Ada",0,IF(P282="","",IF(P282="Tidak Sesuai",0,IF(AND(N282="Ya",O282="Ya",P282="Sesuai"),1,0.5)))))</f>
        <v/>
      </c>
      <c r="S282" s="30">
        <f>IF(L282="N/A","N/A",IF(R282="","Belum dinilai",IF(R282=1,"Memenuhi",IF(R282=0,"Tidak Memenuhi","Memenuhi Sebagian"))))</f>
        <v/>
      </c>
      <c r="T282" s="31" t="inlineStr">
        <is>
          <t>2.1-1</t>
        </is>
      </c>
      <c r="U282" s="77" t="n"/>
    </row>
    <row r="283" ht="15" customHeight="1">
      <c r="A283" s="77" t="n"/>
      <c r="B283" s="77" t="n"/>
      <c r="C283" s="77" t="n"/>
      <c r="D283" s="77" t="n"/>
      <c r="E283" s="27" t="inlineStr">
        <is>
          <t>A</t>
        </is>
      </c>
      <c r="F283" s="77" t="n"/>
      <c r="G283" s="77" t="n"/>
      <c r="H283" s="77" t="n"/>
      <c r="I283" s="28" t="n">
        <v>3</v>
      </c>
      <c r="J283" s="62" t="inlineStr">
        <is>
          <t>Matriks Tindak Lanjut Hasil Reviu</t>
        </is>
      </c>
      <c r="K283" s="78" t="inlineStr"/>
      <c r="L283" s="29" t="n"/>
      <c r="M283" s="10" t="n"/>
      <c r="N283" s="29" t="n"/>
      <c r="O283" s="29" t="n"/>
      <c r="P283" s="29" t="n"/>
      <c r="Q283" s="10" t="n"/>
      <c r="R283" s="30">
        <f>IF(OR(L283="",L283="N/A"),"",IF(L283="Tidak Ada",0,IF(P283="","",IF(P283="Tidak Sesuai",0,IF(AND(N283="Ya",O283="Ya",P283="Sesuai"),1,0.5)))))</f>
        <v/>
      </c>
      <c r="S283" s="30">
        <f>IF(L283="N/A","N/A",IF(R283="","Belum dinilai",IF(R283=1,"Memenuhi",IF(R283=0,"Tidak Memenuhi","Memenuhi Sebagian"))))</f>
        <v/>
      </c>
      <c r="T283" s="31" t="inlineStr">
        <is>
          <t>2.1-1</t>
        </is>
      </c>
      <c r="U283" s="77" t="n"/>
    </row>
    <row r="284" ht="27" customHeight="1">
      <c r="A284" s="77" t="n"/>
      <c r="B284" s="77" t="n"/>
      <c r="C284" s="77" t="n"/>
      <c r="D284" s="77" t="n"/>
      <c r="E284" s="27" t="inlineStr">
        <is>
          <t>A</t>
        </is>
      </c>
      <c r="F284" s="77" t="n"/>
      <c r="G284" s="77" t="n"/>
      <c r="H284" s="77" t="n"/>
      <c r="I284" s="28" t="n">
        <v>4</v>
      </c>
      <c r="J284" s="62" t="inlineStr">
        <is>
          <t>Dokumen Perbaikan/Pemutakhiran Kebijakan Manajemen Risiko</t>
        </is>
      </c>
      <c r="K284" s="78" t="inlineStr"/>
      <c r="L284" s="29" t="n"/>
      <c r="M284" s="10" t="n"/>
      <c r="N284" s="29" t="n"/>
      <c r="O284" s="29" t="n"/>
      <c r="P284" s="29" t="n"/>
      <c r="Q284" s="10" t="n"/>
      <c r="R284" s="30">
        <f>IF(OR(L284="",L284="N/A"),"",IF(L284="Tidak Ada",0,IF(P284="","",IF(P284="Tidak Sesuai",0,IF(AND(N284="Ya",O284="Ya",P284="Sesuai"),1,0.5)))))</f>
        <v/>
      </c>
      <c r="S284" s="30">
        <f>IF(L284="N/A","N/A",IF(R284="","Belum dinilai",IF(R284=1,"Memenuhi",IF(R284=0,"Tidak Memenuhi","Memenuhi Sebagian"))))</f>
        <v/>
      </c>
      <c r="T284" s="31" t="inlineStr">
        <is>
          <t>2.1-1</t>
        </is>
      </c>
      <c r="U284" s="77" t="n"/>
    </row>
    <row r="285" ht="27" customHeight="1">
      <c r="A285" s="77" t="n"/>
      <c r="B285" s="77" t="n"/>
      <c r="C285" s="77" t="n"/>
      <c r="D285" s="77" t="n"/>
      <c r="E285" s="27" t="inlineStr">
        <is>
          <t>A</t>
        </is>
      </c>
      <c r="F285" s="79" t="n"/>
      <c r="G285" s="79" t="n"/>
      <c r="H285" s="79" t="n"/>
      <c r="I285" s="28" t="n">
        <v>5</v>
      </c>
      <c r="J285" s="62" t="inlineStr">
        <is>
          <t>Dokumen pembelajaran/lesson learned, jika tersedia</t>
        </is>
      </c>
      <c r="K285" s="78" t="inlineStr"/>
      <c r="L285" s="29" t="n"/>
      <c r="M285" s="10" t="n"/>
      <c r="N285" s="29" t="n"/>
      <c r="O285" s="29" t="n"/>
      <c r="P285" s="29" t="n"/>
      <c r="Q285" s="10" t="n"/>
      <c r="R285" s="30">
        <f>IF(OR(L285="",L285="N/A"),"",IF(L285="Tidak Ada",0,IF(P285="","",IF(P285="Tidak Sesuai",0,IF(AND(N285="Ya",O285="Ya",P285="Sesuai"),1,0.5)))))</f>
        <v/>
      </c>
      <c r="S285" s="30">
        <f>IF(L285="N/A","N/A",IF(R285="","Belum dinilai",IF(R285=1,"Memenuhi",IF(R285=0,"Tidak Memenuhi","Memenuhi Sebagian"))))</f>
        <v/>
      </c>
      <c r="T285" s="31" t="inlineStr">
        <is>
          <t>2.1-1</t>
        </is>
      </c>
      <c r="U285" s="79" t="n"/>
    </row>
    <row r="286" ht="27" customHeight="1">
      <c r="A286" s="77" t="n"/>
      <c r="B286" s="77" t="n"/>
      <c r="C286" s="77" t="n"/>
      <c r="D286" s="77" t="n"/>
      <c r="E286" s="32" t="inlineStr">
        <is>
          <t>B</t>
        </is>
      </c>
      <c r="F286" s="62" t="inlineStr">
        <is>
          <t>B – Evaluasi &amp; Tindak Lanjut</t>
        </is>
      </c>
      <c r="G286" s="62" t="inlineStr">
        <is>
          <t>K/L/D telah memiliki Kebijakan Manajemen Risiko yang memadai dan terintegrasi</t>
        </is>
      </c>
      <c r="H286" s="62" t="inlineStr">
        <is>
          <t>Memiliki Kebijakan Manajemen Risiko yang memadai dan terintegrasi</t>
        </is>
      </c>
      <c r="I286" s="28" t="n">
        <v>1</v>
      </c>
      <c r="J286" s="62" t="inlineStr">
        <is>
          <t>Pedoman/Kebijakan Manajemen Risiko</t>
        </is>
      </c>
      <c r="K286" s="78" t="inlineStr"/>
      <c r="L286" s="29" t="n"/>
      <c r="M286" s="10" t="n"/>
      <c r="N286" s="29" t="n"/>
      <c r="O286" s="29" t="n"/>
      <c r="P286" s="29" t="n"/>
      <c r="Q286" s="10" t="n"/>
      <c r="R286" s="30">
        <f>IF(OR(L286="",L286="N/A"),"",IF(L286="Tidak Ada",0,IF(P286="","",IF(P286="Tidak Sesuai",0,IF(AND(N286="Ya",O286="Ya",P286="Sesuai"),1,0.5)))))</f>
        <v/>
      </c>
      <c r="S286" s="30">
        <f>IF(L286="N/A","N/A",IF(R286="","Belum dinilai",IF(R286=1,"Memenuhi",IF(R286=0,"Tidak Memenuhi","Memenuhi Sebagian"))))</f>
        <v/>
      </c>
      <c r="T286" s="31" t="inlineStr">
        <is>
          <t>2.1-1</t>
        </is>
      </c>
      <c r="U286" s="63">
        <f>IF(COUNT(R286:R291)=0,"",SUM(R286:R291)/COUNT(R286:R291))</f>
        <v/>
      </c>
    </row>
    <row r="287" ht="15" customHeight="1">
      <c r="A287" s="77" t="n"/>
      <c r="B287" s="77" t="n"/>
      <c r="C287" s="77" t="n"/>
      <c r="D287" s="77" t="n"/>
      <c r="E287" s="32" t="inlineStr">
        <is>
          <t>B</t>
        </is>
      </c>
      <c r="F287" s="77" t="n"/>
      <c r="G287" s="77" t="n"/>
      <c r="H287" s="77" t="n"/>
      <c r="I287" s="28" t="n">
        <v>2</v>
      </c>
      <c r="J287" s="62" t="inlineStr">
        <is>
          <t>Risk Register seluruh unit kerja</t>
        </is>
      </c>
      <c r="K287" s="78" t="inlineStr"/>
      <c r="L287" s="29" t="n"/>
      <c r="M287" s="10" t="n"/>
      <c r="N287" s="29" t="n"/>
      <c r="O287" s="29" t="n"/>
      <c r="P287" s="29" t="n"/>
      <c r="Q287" s="10" t="n"/>
      <c r="R287" s="30">
        <f>IF(OR(L287="",L287="N/A"),"",IF(L287="Tidak Ada",0,IF(P287="","",IF(P287="Tidak Sesuai",0,IF(AND(N287="Ya",O287="Ya",P287="Sesuai"),1,0.5)))))</f>
        <v/>
      </c>
      <c r="S287" s="30">
        <f>IF(L287="N/A","N/A",IF(R287="","Belum dinilai",IF(R287=1,"Memenuhi",IF(R287=0,"Tidak Memenuhi","Memenuhi Sebagian"))))</f>
        <v/>
      </c>
      <c r="T287" s="31" t="inlineStr">
        <is>
          <t>2.1-1</t>
        </is>
      </c>
      <c r="U287" s="77" t="n"/>
    </row>
    <row r="288" ht="75" customHeight="1">
      <c r="A288" s="77" t="n"/>
      <c r="B288" s="77" t="n"/>
      <c r="C288" s="77" t="n"/>
      <c r="D288" s="77" t="n"/>
      <c r="E288" s="32" t="inlineStr">
        <is>
          <t>B</t>
        </is>
      </c>
      <c r="F288" s="77" t="n"/>
      <c r="G288" s="77" t="n"/>
      <c r="H288" s="77" t="n"/>
      <c r="I288" s="28" t="n">
        <v>3</v>
      </c>
      <c r="J288" s="62" t="inlineStr">
        <is>
          <t>Dokumen Perencanaan yang memuat hasil manajemen risiko (Contoh RR program  mitigasinya dimasukan dalam Renja, RR kegiatan dipantau pelaksanaannya hasilnya digunakan dalam pengambilan keputusan)</t>
        </is>
      </c>
      <c r="K288" s="78" t="inlineStr"/>
      <c r="L288" s="29" t="n"/>
      <c r="M288" s="10" t="n"/>
      <c r="N288" s="29" t="n"/>
      <c r="O288" s="29" t="n"/>
      <c r="P288" s="29" t="n"/>
      <c r="Q288" s="10" t="n"/>
      <c r="R288" s="30">
        <f>IF(OR(L288="",L288="N/A"),"",IF(L288="Tidak Ada",0,IF(P288="","",IF(P288="Tidak Sesuai",0,IF(AND(N288="Ya",O288="Ya",P288="Sesuai"),1,0.5)))))</f>
        <v/>
      </c>
      <c r="S288" s="30">
        <f>IF(L288="N/A","N/A",IF(R288="","Belum dinilai",IF(R288=1,"Memenuhi",IF(R288=0,"Tidak Memenuhi","Memenuhi Sebagian"))))</f>
        <v/>
      </c>
      <c r="T288" s="31" t="inlineStr">
        <is>
          <t>2.1-1</t>
        </is>
      </c>
      <c r="U288" s="77" t="n"/>
    </row>
    <row r="289" ht="27" customHeight="1">
      <c r="A289" s="77" t="n"/>
      <c r="B289" s="77" t="n"/>
      <c r="C289" s="77" t="n"/>
      <c r="D289" s="77" t="n"/>
      <c r="E289" s="32" t="inlineStr">
        <is>
          <t>B</t>
        </is>
      </c>
      <c r="F289" s="77" t="n"/>
      <c r="G289" s="77" t="n"/>
      <c r="H289" s="77" t="n"/>
      <c r="I289" s="28" t="n">
        <v>4</v>
      </c>
      <c r="J289" s="62" t="inlineStr">
        <is>
          <t>Dokumen Kinerja yang memuat risiko dan mitigasi</t>
        </is>
      </c>
      <c r="K289" s="78" t="inlineStr"/>
      <c r="L289" s="29" t="n"/>
      <c r="M289" s="10" t="n"/>
      <c r="N289" s="29" t="n"/>
      <c r="O289" s="29" t="n"/>
      <c r="P289" s="29" t="n"/>
      <c r="Q289" s="10" t="n"/>
      <c r="R289" s="30">
        <f>IF(OR(L289="",L289="N/A"),"",IF(L289="Tidak Ada",0,IF(P289="","",IF(P289="Tidak Sesuai",0,IF(AND(N289="Ya",O289="Ya",P289="Sesuai"),1,0.5)))))</f>
        <v/>
      </c>
      <c r="S289" s="30">
        <f>IF(L289="N/A","N/A",IF(R289="","Belum dinilai",IF(R289=1,"Memenuhi",IF(R289=0,"Tidak Memenuhi","Memenuhi Sebagian"))))</f>
        <v/>
      </c>
      <c r="T289" s="31" t="inlineStr">
        <is>
          <t>2.1-1</t>
        </is>
      </c>
      <c r="U289" s="77" t="n"/>
    </row>
    <row r="290" ht="39" customHeight="1">
      <c r="A290" s="77" t="n"/>
      <c r="B290" s="77" t="n"/>
      <c r="C290" s="77" t="n"/>
      <c r="D290" s="77" t="n"/>
      <c r="E290" s="32" t="inlineStr">
        <is>
          <t>B</t>
        </is>
      </c>
      <c r="F290" s="77" t="n"/>
      <c r="G290" s="77" t="n"/>
      <c r="H290" s="77" t="n"/>
      <c r="I290" s="28" t="n">
        <v>5</v>
      </c>
      <c r="J290" s="62" t="inlineStr">
        <is>
          <t>Notulen/Berita Acara Pengambilan Keputusan yang mempertimbangkan risiko</t>
        </is>
      </c>
      <c r="K290" s="78" t="inlineStr"/>
      <c r="L290" s="29" t="n"/>
      <c r="M290" s="10" t="n"/>
      <c r="N290" s="29" t="n"/>
      <c r="O290" s="29" t="n"/>
      <c r="P290" s="29" t="n"/>
      <c r="Q290" s="10" t="n"/>
      <c r="R290" s="30">
        <f>IF(OR(L290="",L290="N/A"),"",IF(L290="Tidak Ada",0,IF(P290="","",IF(P290="Tidak Sesuai",0,IF(AND(N290="Ya",O290="Ya",P290="Sesuai"),1,0.5)))))</f>
        <v/>
      </c>
      <c r="S290" s="30">
        <f>IF(L290="N/A","N/A",IF(R290="","Belum dinilai",IF(R290=1,"Memenuhi",IF(R290=0,"Tidak Memenuhi","Memenuhi Sebagian"))))</f>
        <v/>
      </c>
      <c r="T290" s="31" t="inlineStr">
        <is>
          <t>2.1-1</t>
        </is>
      </c>
      <c r="U290" s="77" t="n"/>
    </row>
    <row r="291" ht="27" customHeight="1">
      <c r="A291" s="77" t="n"/>
      <c r="B291" s="77" t="n"/>
      <c r="C291" s="77" t="n"/>
      <c r="D291" s="77" t="n"/>
      <c r="E291" s="32" t="inlineStr">
        <is>
          <t>B</t>
        </is>
      </c>
      <c r="F291" s="79" t="n"/>
      <c r="G291" s="79" t="n"/>
      <c r="H291" s="79" t="n"/>
      <c r="I291" s="28" t="n">
        <v>6</v>
      </c>
      <c r="J291" s="62" t="inlineStr">
        <is>
          <t>Laporan Penerapan Manajemen Risiko</t>
        </is>
      </c>
      <c r="K291" s="78" t="inlineStr"/>
      <c r="L291" s="29" t="n"/>
      <c r="M291" s="10" t="n"/>
      <c r="N291" s="29" t="n"/>
      <c r="O291" s="29" t="n"/>
      <c r="P291" s="29" t="n"/>
      <c r="Q291" s="10" t="n"/>
      <c r="R291" s="30">
        <f>IF(OR(L291="",L291="N/A"),"",IF(L291="Tidak Ada",0,IF(P291="","",IF(P291="Tidak Sesuai",0,IF(AND(N291="Ya",O291="Ya",P291="Sesuai"),1,0.5)))))</f>
        <v/>
      </c>
      <c r="S291" s="30">
        <f>IF(L291="N/A","N/A",IF(R291="","Belum dinilai",IF(R291=1,"Memenuhi",IF(R291=0,"Tidak Memenuhi","Memenuhi Sebagian"))))</f>
        <v/>
      </c>
      <c r="T291" s="31" t="inlineStr">
        <is>
          <t>2.1-1</t>
        </is>
      </c>
      <c r="U291" s="79" t="n"/>
    </row>
    <row r="292" ht="51" customHeight="1">
      <c r="A292" s="77" t="n"/>
      <c r="B292" s="77" t="n"/>
      <c r="C292" s="77" t="n"/>
      <c r="D292" s="77" t="n"/>
      <c r="E292" s="33" t="inlineStr">
        <is>
          <t>C</t>
        </is>
      </c>
      <c r="F292" s="62" t="inlineStr">
        <is>
          <t>C – Implementasi</t>
        </is>
      </c>
      <c r="G292" s="62" t="inlineStr">
        <is>
          <t>K/L/D telah memiliki Kebijakan Manajemen Risiko yang memadai</t>
        </is>
      </c>
      <c r="H292" s="62" t="inlineStr">
        <is>
          <t>Memiliki Kebijakan Manajemen Risiko yang memadai</t>
        </is>
      </c>
      <c r="I292" s="28" t="n">
        <v>1</v>
      </c>
      <c r="J292" s="62" t="inlineStr">
        <is>
          <t>Pedoman Manajemen Risiko yang memuat: Penetapan konteks manajemen risiko (konteks risiko strategis dan Operasional)</t>
        </is>
      </c>
      <c r="K292" s="78" t="inlineStr"/>
      <c r="L292" s="29" t="inlineStr">
        <is>
          <t>Ada</t>
        </is>
      </c>
      <c r="M292" s="66" t="inlineStr">
        <is>
          <t>Perbup pengelolaan risiko</t>
        </is>
      </c>
      <c r="N292" s="29" t="inlineStr">
        <is>
          <t>Ya</t>
        </is>
      </c>
      <c r="O292" s="29" t="inlineStr">
        <is>
          <t>Ya</t>
        </is>
      </c>
      <c r="P292" s="29" t="inlineStr">
        <is>
          <t>Sesuai</t>
        </is>
      </c>
      <c r="Q292" s="10" t="n"/>
      <c r="R292" s="30">
        <f>IF(OR(L292="",L292="N/A"),"",IF(L292="Tidak Ada",0,IF(P292="","",IF(P292="Tidak Sesuai",0,IF(AND(N292="Ya",O292="Ya",P292="Sesuai"),1,0.5)))))</f>
        <v/>
      </c>
      <c r="S292" s="30">
        <f>IF(L292="N/A","N/A",IF(R292="","Belum dinilai",IF(R292=1,"Memenuhi",IF(R292=0,"Tidak Memenuhi","Memenuhi Sebagian"))))</f>
        <v/>
      </c>
      <c r="T292" s="31" t="inlineStr">
        <is>
          <t>2.1-1</t>
        </is>
      </c>
      <c r="U292" s="63">
        <f>IF(COUNT(R292:R299)=0,"",SUM(R292:R299)/COUNT(R292:R299))</f>
        <v/>
      </c>
    </row>
    <row r="293" ht="63" customHeight="1">
      <c r="A293" s="77" t="n"/>
      <c r="B293" s="77" t="n"/>
      <c r="C293" s="77" t="n"/>
      <c r="D293" s="77" t="n"/>
      <c r="E293" s="33" t="inlineStr">
        <is>
          <t>C</t>
        </is>
      </c>
      <c r="F293" s="77" t="n"/>
      <c r="G293" s="77" t="n"/>
      <c r="H293" s="77" t="n"/>
      <c r="I293" s="28" t="n">
        <v>2</v>
      </c>
      <c r="J293" s="62" t="inlineStr">
        <is>
          <t>Pedoman Manajemen Risiko yang memuat: Identifikasi risiko setidaknya memuat penyebab risiko, dampak risiko, pihak yang terkena dampak</t>
        </is>
      </c>
      <c r="K293" s="78" t="inlineStr"/>
      <c r="L293" s="29" t="n"/>
      <c r="M293" s="10" t="n"/>
      <c r="N293" s="29" t="n"/>
      <c r="O293" s="29" t="n"/>
      <c r="P293" s="29" t="n"/>
      <c r="Q293" s="10" t="n"/>
      <c r="R293" s="30">
        <f>IF(OR(L293="",L293="N/A"),"",IF(L293="Tidak Ada",0,IF(P293="","",IF(P293="Tidak Sesuai",0,IF(AND(N293="Ya",O293="Ya",P293="Sesuai"),1,0.5)))))</f>
        <v/>
      </c>
      <c r="S293" s="30">
        <f>IF(L293="N/A","N/A",IF(R293="","Belum dinilai",IF(R293=1,"Memenuhi",IF(R293=0,"Tidak Memenuhi","Memenuhi Sebagian"))))</f>
        <v/>
      </c>
      <c r="T293" s="31" t="inlineStr">
        <is>
          <t>2.1-1</t>
        </is>
      </c>
      <c r="U293" s="77" t="n"/>
    </row>
    <row r="294" ht="39" customHeight="1">
      <c r="A294" s="77" t="n"/>
      <c r="B294" s="77" t="n"/>
      <c r="C294" s="77" t="n"/>
      <c r="D294" s="77" t="n"/>
      <c r="E294" s="33" t="inlineStr">
        <is>
          <t>C</t>
        </is>
      </c>
      <c r="F294" s="77" t="n"/>
      <c r="G294" s="77" t="n"/>
      <c r="H294" s="77" t="n"/>
      <c r="I294" s="28" t="n">
        <v>3</v>
      </c>
      <c r="J294" s="62" t="inlineStr">
        <is>
          <t>Pedoman Manajemen Risiko yang memuat: Analisis risiko setidaknya memuat metode prioritisasi risiko</t>
        </is>
      </c>
      <c r="K294" s="78" t="inlineStr"/>
      <c r="L294" s="29" t="n"/>
      <c r="M294" s="10" t="n"/>
      <c r="N294" s="29" t="n"/>
      <c r="O294" s="29" t="n"/>
      <c r="P294" s="29" t="n"/>
      <c r="Q294" s="10" t="n"/>
      <c r="R294" s="30">
        <f>IF(OR(L294="",L294="N/A"),"",IF(L294="Tidak Ada",0,IF(P294="","",IF(P294="Tidak Sesuai",0,IF(AND(N294="Ya",O294="Ya",P294="Sesuai"),1,0.5)))))</f>
        <v/>
      </c>
      <c r="S294" s="30">
        <f>IF(L294="N/A","N/A",IF(R294="","Belum dinilai",IF(R294=1,"Memenuhi",IF(R294=0,"Tidak Memenuhi","Memenuhi Sebagian"))))</f>
        <v/>
      </c>
      <c r="T294" s="31" t="inlineStr">
        <is>
          <t>2.1-1</t>
        </is>
      </c>
      <c r="U294" s="77" t="n"/>
    </row>
    <row r="295" ht="63" customHeight="1">
      <c r="A295" s="77" t="n"/>
      <c r="B295" s="77" t="n"/>
      <c r="C295" s="77" t="n"/>
      <c r="D295" s="77" t="n"/>
      <c r="E295" s="33" t="inlineStr">
        <is>
          <t>C</t>
        </is>
      </c>
      <c r="F295" s="77" t="n"/>
      <c r="G295" s="77" t="n"/>
      <c r="H295" s="77" t="n"/>
      <c r="I295" s="28" t="n">
        <v>4</v>
      </c>
      <c r="J295" s="62" t="inlineStr">
        <is>
          <t>Pedoman Manajemen Risiko yang memuat: Penetapan kriteria penilaian risiko (kriteria dampak, kriteria kemungkinan, dan skala nilai risiko)</t>
        </is>
      </c>
      <c r="K295" s="78" t="inlineStr"/>
      <c r="L295" s="29" t="n"/>
      <c r="M295" s="10" t="n"/>
      <c r="N295" s="29" t="n"/>
      <c r="O295" s="29" t="n"/>
      <c r="P295" s="29" t="n"/>
      <c r="Q295" s="10" t="n"/>
      <c r="R295" s="30">
        <f>IF(OR(L295="",L295="N/A"),"",IF(L295="Tidak Ada",0,IF(P295="","",IF(P295="Tidak Sesuai",0,IF(AND(N295="Ya",O295="Ya",P295="Sesuai"),1,0.5)))))</f>
        <v/>
      </c>
      <c r="S295" s="30">
        <f>IF(L295="N/A","N/A",IF(R295="","Belum dinilai",IF(R295=1,"Memenuhi",IF(R295=0,"Tidak Memenuhi","Memenuhi Sebagian"))))</f>
        <v/>
      </c>
      <c r="T295" s="31" t="inlineStr">
        <is>
          <t>2.1-1</t>
        </is>
      </c>
      <c r="U295" s="77" t="n"/>
    </row>
    <row r="296" ht="51" customHeight="1">
      <c r="A296" s="77" t="n"/>
      <c r="B296" s="77" t="n"/>
      <c r="C296" s="77" t="n"/>
      <c r="D296" s="77" t="n"/>
      <c r="E296" s="33" t="inlineStr">
        <is>
          <t>C</t>
        </is>
      </c>
      <c r="F296" s="77" t="n"/>
      <c r="G296" s="77" t="n"/>
      <c r="H296" s="77" t="n"/>
      <c r="I296" s="28" t="n">
        <v>5</v>
      </c>
      <c r="J296" s="62" t="inlineStr">
        <is>
          <t>Pedoman Manajemen Risiko yang memuat: Penetapan struktur manajemen risiko dan alur pertanggungjawaban</t>
        </is>
      </c>
      <c r="K296" s="78" t="inlineStr"/>
      <c r="L296" s="29" t="n"/>
      <c r="M296" s="10" t="n"/>
      <c r="N296" s="29" t="n"/>
      <c r="O296" s="29" t="n"/>
      <c r="P296" s="29" t="n"/>
      <c r="Q296" s="10" t="n"/>
      <c r="R296" s="30">
        <f>IF(OR(L296="",L296="N/A"),"",IF(L296="Tidak Ada",0,IF(P296="","",IF(P296="Tidak Sesuai",0,IF(AND(N296="Ya",O296="Ya",P296="Sesuai"),1,0.5)))))</f>
        <v/>
      </c>
      <c r="S296" s="30">
        <f>IF(L296="N/A","N/A",IF(R296="","Belum dinilai",IF(R296=1,"Memenuhi",IF(R296=0,"Tidak Memenuhi","Memenuhi Sebagian"))))</f>
        <v/>
      </c>
      <c r="T296" s="31" t="inlineStr">
        <is>
          <t>2.1-1</t>
        </is>
      </c>
      <c r="U296" s="77" t="n"/>
    </row>
    <row r="297" ht="39" customHeight="1">
      <c r="A297" s="77" t="n"/>
      <c r="B297" s="77" t="n"/>
      <c r="C297" s="77" t="n"/>
      <c r="D297" s="77" t="n"/>
      <c r="E297" s="33" t="inlineStr">
        <is>
          <t>C</t>
        </is>
      </c>
      <c r="F297" s="77" t="n"/>
      <c r="G297" s="77" t="n"/>
      <c r="H297" s="77" t="n"/>
      <c r="I297" s="28" t="n">
        <v>6</v>
      </c>
      <c r="J297" s="62" t="inlineStr">
        <is>
          <t>Pedoman Manajemen Risiko yang memuat: Penetapan risk appetite/selera risiko</t>
        </is>
      </c>
      <c r="K297" s="78" t="inlineStr"/>
      <c r="L297" s="29" t="n"/>
      <c r="M297" s="10" t="n"/>
      <c r="N297" s="29" t="n"/>
      <c r="O297" s="29" t="n"/>
      <c r="P297" s="29" t="n"/>
      <c r="Q297" s="10" t="n"/>
      <c r="R297" s="30">
        <f>IF(OR(L297="",L297="N/A"),"",IF(L297="Tidak Ada",0,IF(P297="","",IF(P297="Tidak Sesuai",0,IF(AND(N297="Ya",O297="Ya",P297="Sesuai"),1,0.5)))))</f>
        <v/>
      </c>
      <c r="S297" s="30">
        <f>IF(L297="N/A","N/A",IF(R297="","Belum dinilai",IF(R297=1,"Memenuhi",IF(R297=0,"Tidak Memenuhi","Memenuhi Sebagian"))))</f>
        <v/>
      </c>
      <c r="T297" s="31" t="inlineStr">
        <is>
          <t>2.1-1</t>
        </is>
      </c>
      <c r="U297" s="77" t="n"/>
    </row>
    <row r="298" ht="39" customHeight="1">
      <c r="A298" s="77" t="n"/>
      <c r="B298" s="77" t="n"/>
      <c r="C298" s="77" t="n"/>
      <c r="D298" s="77" t="n"/>
      <c r="E298" s="33" t="inlineStr">
        <is>
          <t>C</t>
        </is>
      </c>
      <c r="F298" s="77" t="n"/>
      <c r="G298" s="77" t="n"/>
      <c r="H298" s="77" t="n"/>
      <c r="I298" s="28" t="n">
        <v>7</v>
      </c>
      <c r="J298" s="62" t="inlineStr">
        <is>
          <t>Pedoman Manajemen Risiko yang memuat: Gambaran proses manajemen risiko.</t>
        </is>
      </c>
      <c r="K298" s="78" t="inlineStr"/>
      <c r="L298" s="29" t="n"/>
      <c r="M298" s="10" t="n"/>
      <c r="N298" s="29" t="n"/>
      <c r="O298" s="29" t="n"/>
      <c r="P298" s="29" t="n"/>
      <c r="Q298" s="10" t="n"/>
      <c r="R298" s="30">
        <f>IF(OR(L298="",L298="N/A"),"",IF(L298="Tidak Ada",0,IF(P298="","",IF(P298="Tidak Sesuai",0,IF(AND(N298="Ya",O298="Ya",P298="Sesuai"),1,0.5)))))</f>
        <v/>
      </c>
      <c r="S298" s="30">
        <f>IF(L298="N/A","N/A",IF(R298="","Belum dinilai",IF(R298=1,"Memenuhi",IF(R298=0,"Tidak Memenuhi","Memenuhi Sebagian"))))</f>
        <v/>
      </c>
      <c r="T298" s="31" t="inlineStr">
        <is>
          <t>2.1-1</t>
        </is>
      </c>
      <c r="U298" s="77" t="n"/>
    </row>
    <row r="299" ht="27" customHeight="1">
      <c r="A299" s="77" t="n"/>
      <c r="B299" s="77" t="n"/>
      <c r="C299" s="77" t="n"/>
      <c r="D299" s="77" t="n"/>
      <c r="E299" s="33" t="inlineStr">
        <is>
          <t>C</t>
        </is>
      </c>
      <c r="F299" s="79" t="n"/>
      <c r="G299" s="79" t="n"/>
      <c r="H299" s="79" t="n"/>
      <c r="I299" s="28" t="n">
        <v>8</v>
      </c>
      <c r="J299" s="62" t="inlineStr">
        <is>
          <t>Pedoman Manajemen Risiko yang memuat: Pembangunan budaya risiko</t>
        </is>
      </c>
      <c r="K299" s="78" t="inlineStr"/>
      <c r="L299" s="29" t="n"/>
      <c r="M299" s="10" t="n"/>
      <c r="N299" s="29" t="n"/>
      <c r="O299" s="29" t="n"/>
      <c r="P299" s="29" t="n"/>
      <c r="Q299" s="10" t="n"/>
      <c r="R299" s="30">
        <f>IF(OR(L299="",L299="N/A"),"",IF(L299="Tidak Ada",0,IF(P299="","",IF(P299="Tidak Sesuai",0,IF(AND(N299="Ya",O299="Ya",P299="Sesuai"),1,0.5)))))</f>
        <v/>
      </c>
      <c r="S299" s="30">
        <f>IF(L299="N/A","N/A",IF(R299="","Belum dinilai",IF(R299=1,"Memenuhi",IF(R299=0,"Tidak Memenuhi","Memenuhi Sebagian"))))</f>
        <v/>
      </c>
      <c r="T299" s="31" t="inlineStr">
        <is>
          <t>2.1-1</t>
        </is>
      </c>
      <c r="U299" s="79" t="n"/>
    </row>
    <row r="300" ht="27" customHeight="1">
      <c r="A300" s="77" t="n"/>
      <c r="B300" s="77" t="n"/>
      <c r="C300" s="77" t="n"/>
      <c r="D300" s="77" t="n"/>
      <c r="E300" s="34" t="inlineStr">
        <is>
          <t>D</t>
        </is>
      </c>
      <c r="F300" s="62" t="inlineStr">
        <is>
          <t>D – Komunikasi &amp; Pemahaman</t>
        </is>
      </c>
      <c r="G300" s="62" t="inlineStr">
        <is>
          <t>K/L/D telah memiliki Kebijakan Manajemen Risiko namun belum memadai</t>
        </is>
      </c>
      <c r="H300" s="62" t="inlineStr">
        <is>
          <t>Memiliki Kebijakan Manajemen Risiko namun belum memadai</t>
        </is>
      </c>
      <c r="I300" s="28" t="n">
        <v>1</v>
      </c>
      <c r="J300" s="62" t="inlineStr">
        <is>
          <t>Kebijakan/Pedoman Manajemen Risiko</t>
        </is>
      </c>
      <c r="K300" s="78" t="inlineStr"/>
      <c r="L300" s="29" t="n"/>
      <c r="M300" s="10" t="n"/>
      <c r="N300" s="29" t="n"/>
      <c r="O300" s="29" t="n"/>
      <c r="P300" s="29" t="n"/>
      <c r="Q300" s="10" t="n"/>
      <c r="R300" s="30">
        <f>IF(OR(L300="",L300="N/A"),"",IF(L300="Tidak Ada",0,IF(P300="","",IF(P300="Tidak Sesuai",0,IF(AND(N300="Ya",O300="Ya",P300="Sesuai"),1,0.5)))))</f>
        <v/>
      </c>
      <c r="S300" s="30">
        <f>IF(L300="N/A","N/A",IF(R300="","Belum dinilai",IF(R300=1,"Memenuhi",IF(R300=0,"Tidak Memenuhi","Memenuhi Sebagian"))))</f>
        <v/>
      </c>
      <c r="T300" s="31" t="inlineStr">
        <is>
          <t>2.1-1</t>
        </is>
      </c>
      <c r="U300" s="63">
        <f>IF(COUNT(R300:R301)=0,"",SUM(R300:R301)/COUNT(R300:R301))</f>
        <v/>
      </c>
    </row>
    <row r="301" ht="27" customHeight="1">
      <c r="A301" s="77" t="n"/>
      <c r="B301" s="77" t="n"/>
      <c r="C301" s="77" t="n"/>
      <c r="D301" s="77" t="n"/>
      <c r="E301" s="34" t="inlineStr">
        <is>
          <t>D</t>
        </is>
      </c>
      <c r="F301" s="79" t="n"/>
      <c r="G301" s="79" t="n"/>
      <c r="H301" s="79" t="n"/>
      <c r="I301" s="28" t="n">
        <v>2</v>
      </c>
      <c r="J301" s="62" t="inlineStr">
        <is>
          <t>Lampiran/Matriks Penerapan Manajemen Risiko</t>
        </is>
      </c>
      <c r="K301" s="78" t="inlineStr"/>
      <c r="L301" s="29" t="n"/>
      <c r="M301" s="10" t="n"/>
      <c r="N301" s="29" t="n"/>
      <c r="O301" s="29" t="n"/>
      <c r="P301" s="29" t="n"/>
      <c r="Q301" s="10" t="n"/>
      <c r="R301" s="30">
        <f>IF(OR(L301="",L301="N/A"),"",IF(L301="Tidak Ada",0,IF(P301="","",IF(P301="Tidak Sesuai",0,IF(AND(N301="Ya",O301="Ya",P301="Sesuai"),1,0.5)))))</f>
        <v/>
      </c>
      <c r="S301" s="30">
        <f>IF(L301="N/A","N/A",IF(R301="","Belum dinilai",IF(R301=1,"Memenuhi",IF(R301=0,"Tidak Memenuhi","Memenuhi Sebagian"))))</f>
        <v/>
      </c>
      <c r="T301" s="31" t="inlineStr">
        <is>
          <t>2.1-1</t>
        </is>
      </c>
      <c r="U301" s="79" t="n"/>
    </row>
    <row r="302" ht="27" customHeight="1">
      <c r="A302" s="77" t="n"/>
      <c r="B302" s="77" t="n"/>
      <c r="C302" s="77" t="n"/>
      <c r="D302" s="77" t="n"/>
      <c r="E302" s="35" t="inlineStr">
        <is>
          <t>E</t>
        </is>
      </c>
      <c r="F302" s="62" t="inlineStr">
        <is>
          <t>E – Kebijakan/Formalitas</t>
        </is>
      </c>
      <c r="G302" s="62" t="inlineStr">
        <is>
          <t>K/L/D telah memiliki Kebijakan Manajemen Risiko namun sama sekali belum memuat persyaratan dalam kriteria memadai</t>
        </is>
      </c>
      <c r="H302" s="62" t="inlineStr">
        <is>
          <t>Memiliki Kebijakan Manajemen Risiko namun sama sekali belum memuat persyaratan dalam kriteria memadai</t>
        </is>
      </c>
      <c r="I302" s="28" t="n">
        <v>1</v>
      </c>
      <c r="J302" s="62" t="inlineStr">
        <is>
          <t>Perkada tentang Manajemen Risiko</t>
        </is>
      </c>
      <c r="K302" s="78" t="inlineStr"/>
      <c r="L302" s="29" t="n"/>
      <c r="M302" s="10" t="n"/>
      <c r="N302" s="29" t="n"/>
      <c r="O302" s="29" t="n"/>
      <c r="P302" s="29" t="n"/>
      <c r="Q302" s="10" t="n"/>
      <c r="R302" s="30">
        <f>IF(OR(L302="",L302="N/A"),"",IF(L302="Tidak Ada",0,IF(P302="","",IF(P302="Tidak Sesuai",0,IF(AND(N302="Ya",O302="Ya",P302="Sesuai"),1,0.5)))))</f>
        <v/>
      </c>
      <c r="S302" s="30">
        <f>IF(L302="N/A","N/A",IF(R302="","Belum dinilai",IF(R302=1,"Memenuhi",IF(R302=0,"Tidak Memenuhi","Memenuhi Sebagian"))))</f>
        <v/>
      </c>
      <c r="T302" s="31" t="inlineStr">
        <is>
          <t>2.1-1</t>
        </is>
      </c>
      <c r="U302" s="63">
        <f>IF(COUNT(R302:R304)=0,"",SUM(R302:R304)/COUNT(R302:R304))</f>
        <v/>
      </c>
    </row>
    <row r="303" ht="27" customHeight="1">
      <c r="A303" s="77" t="n"/>
      <c r="B303" s="77" t="n"/>
      <c r="C303" s="77" t="n"/>
      <c r="D303" s="77" t="n"/>
      <c r="E303" s="35" t="inlineStr">
        <is>
          <t>E</t>
        </is>
      </c>
      <c r="F303" s="77" t="n"/>
      <c r="G303" s="77" t="n"/>
      <c r="H303" s="77" t="n"/>
      <c r="I303" s="28" t="n">
        <v>2</v>
      </c>
      <c r="J303" s="62" t="inlineStr">
        <is>
          <t>SK/SE Kepala Daerah/Kepala OPD tentang penerapan Manajemen Risiko</t>
        </is>
      </c>
      <c r="K303" s="78" t="inlineStr"/>
      <c r="L303" s="29" t="n"/>
      <c r="M303" s="10" t="n"/>
      <c r="N303" s="29" t="n"/>
      <c r="O303" s="29" t="n"/>
      <c r="P303" s="29" t="n"/>
      <c r="Q303" s="10" t="n"/>
      <c r="R303" s="30">
        <f>IF(OR(L303="",L303="N/A"),"",IF(L303="Tidak Ada",0,IF(P303="","",IF(P303="Tidak Sesuai",0,IF(AND(N303="Ya",O303="Ya",P303="Sesuai"),1,0.5)))))</f>
        <v/>
      </c>
      <c r="S303" s="30">
        <f>IF(L303="N/A","N/A",IF(R303="","Belum dinilai",IF(R303=1,"Memenuhi",IF(R303=0,"Tidak Memenuhi","Memenuhi Sebagian"))))</f>
        <v/>
      </c>
      <c r="T303" s="31" t="inlineStr">
        <is>
          <t>2.1-1</t>
        </is>
      </c>
      <c r="U303" s="77" t="n"/>
    </row>
    <row r="304" ht="27" customHeight="1">
      <c r="A304" s="79" t="n"/>
      <c r="B304" s="79" t="n"/>
      <c r="C304" s="79" t="n"/>
      <c r="D304" s="79" t="n"/>
      <c r="E304" s="35" t="inlineStr">
        <is>
          <t>E</t>
        </is>
      </c>
      <c r="F304" s="79" t="n"/>
      <c r="G304" s="79" t="n"/>
      <c r="H304" s="79" t="n"/>
      <c r="I304" s="28" t="n">
        <v>3</v>
      </c>
      <c r="J304" s="62" t="inlineStr">
        <is>
          <t>Pedoman Manajemen Risiko</t>
        </is>
      </c>
      <c r="K304" s="78" t="inlineStr"/>
      <c r="L304" s="29" t="n"/>
      <c r="M304" s="10" t="n"/>
      <c r="N304" s="29" t="n"/>
      <c r="O304" s="29" t="n"/>
      <c r="P304" s="29" t="n"/>
      <c r="Q304" s="10" t="n"/>
      <c r="R304" s="30">
        <f>IF(OR(L304="",L304="N/A"),"",IF(L304="Tidak Ada",0,IF(P304="","",IF(P304="Tidak Sesuai",0,IF(AND(N304="Ya",O304="Ya",P304="Sesuai"),1,0.5)))))</f>
        <v/>
      </c>
      <c r="S304" s="30">
        <f>IF(L304="N/A","N/A",IF(R304="","Belum dinilai",IF(R304=1,"Memenuhi",IF(R304=0,"Tidak Memenuhi","Memenuhi Sebagian"))))</f>
        <v/>
      </c>
      <c r="T304" s="31" t="inlineStr">
        <is>
          <t>2.1-1</t>
        </is>
      </c>
      <c r="U304" s="79" t="n"/>
    </row>
    <row r="305" ht="27" customHeight="1">
      <c r="A305" s="56" t="inlineStr">
        <is>
          <t>2.1</t>
        </is>
      </c>
      <c r="B305" s="57" t="inlineStr">
        <is>
          <t>Identifikasi Risiko</t>
        </is>
      </c>
      <c r="C305" s="58" t="n">
        <v>2</v>
      </c>
      <c r="D305" s="59" t="inlineStr">
        <is>
          <t>Risiko telah teridentifikasi dan  dituangkan dalam register risiko</t>
        </is>
      </c>
      <c r="E305" s="21" t="inlineStr">
        <is>
          <t>A</t>
        </is>
      </c>
      <c r="F305" s="60" t="inlineStr">
        <is>
          <t>A – Perbaikan Berkelanjutan</t>
        </is>
      </c>
      <c r="G305" s="60" t="inlineStr">
        <is>
          <t>Kualitas identifikasi risiko dan register risiko memadai, serta telah mengidentifikasi peluang</t>
        </is>
      </c>
      <c r="H305" s="60" t="inlineStr">
        <is>
          <t>Kualitas identifikasi risiko dan register risiko memadai, serta telah mengidentifikasi peluang</t>
        </is>
      </c>
      <c r="I305" s="22" t="n">
        <v>1</v>
      </c>
      <c r="J305" s="60" t="inlineStr">
        <is>
          <t>Risk Register OPD yang telah direviu/dimutakhirkan</t>
        </is>
      </c>
      <c r="K305" s="76" t="inlineStr"/>
      <c r="L305" s="23" t="n"/>
      <c r="M305" s="24" t="n"/>
      <c r="N305" s="23" t="n"/>
      <c r="O305" s="23" t="n"/>
      <c r="P305" s="23" t="n"/>
      <c r="Q305" s="24" t="n"/>
      <c r="R305" s="25">
        <f>IF(OR(L305="",L305="N/A"),"",IF(L305="Tidak Ada",0,IF(P305="","",IF(P305="Tidak Sesuai",0,IF(AND(N305="Ya",O305="Ya",P305="Sesuai"),1,0.5)))))</f>
        <v/>
      </c>
      <c r="S305" s="25">
        <f>IF(L305="N/A","N/A",IF(R305="","Belum dinilai",IF(R305=1,"Memenuhi",IF(R305=0,"Tidak Memenuhi","Memenuhi Sebagian"))))</f>
        <v/>
      </c>
      <c r="T305" s="26" t="inlineStr">
        <is>
          <t>2.1-2</t>
        </is>
      </c>
      <c r="U305" s="61">
        <f>IF(COUNT(R305:R310)=0,"",SUM(R305:R310)/COUNT(R305:R310))</f>
        <v/>
      </c>
    </row>
    <row r="306" ht="15" customHeight="1">
      <c r="A306" s="77" t="n"/>
      <c r="B306" s="77" t="n"/>
      <c r="C306" s="77" t="n"/>
      <c r="D306" s="77" t="n"/>
      <c r="E306" s="27" t="inlineStr">
        <is>
          <t>A</t>
        </is>
      </c>
      <c r="F306" s="77" t="n"/>
      <c r="G306" s="77" t="n"/>
      <c r="H306" s="77" t="n"/>
      <c r="I306" s="28" t="n">
        <v>2</v>
      </c>
      <c r="J306" s="62" t="inlineStr">
        <is>
          <t>Laporan Hasil Reviu Risk Register</t>
        </is>
      </c>
      <c r="K306" s="78" t="inlineStr"/>
      <c r="L306" s="29" t="n"/>
      <c r="M306" s="10" t="n"/>
      <c r="N306" s="29" t="n"/>
      <c r="O306" s="29" t="n"/>
      <c r="P306" s="29" t="n"/>
      <c r="Q306" s="10" t="n"/>
      <c r="R306" s="30">
        <f>IF(OR(L306="",L306="N/A"),"",IF(L306="Tidak Ada",0,IF(P306="","",IF(P306="Tidak Sesuai",0,IF(AND(N306="Ya",O306="Ya",P306="Sesuai"),1,0.5)))))</f>
        <v/>
      </c>
      <c r="S306" s="30">
        <f>IF(L306="N/A","N/A",IF(R306="","Belum dinilai",IF(R306=1,"Memenuhi",IF(R306=0,"Tidak Memenuhi","Memenuhi Sebagian"))))</f>
        <v/>
      </c>
      <c r="T306" s="31" t="inlineStr">
        <is>
          <t>2.1-2</t>
        </is>
      </c>
      <c r="U306" s="77" t="n"/>
    </row>
    <row r="307" ht="27" customHeight="1">
      <c r="A307" s="77" t="n"/>
      <c r="B307" s="77" t="n"/>
      <c r="C307" s="77" t="n"/>
      <c r="D307" s="77" t="n"/>
      <c r="E307" s="27" t="inlineStr">
        <is>
          <t>A</t>
        </is>
      </c>
      <c r="F307" s="77" t="n"/>
      <c r="G307" s="77" t="n"/>
      <c r="H307" s="77" t="n"/>
      <c r="I307" s="28" t="n">
        <v>3</v>
      </c>
      <c r="J307" s="62" t="inlineStr">
        <is>
          <t>Berita Acara Identifikasi dan Reviu Risiko</t>
        </is>
      </c>
      <c r="K307" s="78" t="inlineStr"/>
      <c r="L307" s="29" t="n"/>
      <c r="M307" s="10" t="n"/>
      <c r="N307" s="29" t="n"/>
      <c r="O307" s="29" t="n"/>
      <c r="P307" s="29" t="n"/>
      <c r="Q307" s="10" t="n"/>
      <c r="R307" s="30">
        <f>IF(OR(L307="",L307="N/A"),"",IF(L307="Tidak Ada",0,IF(P307="","",IF(P307="Tidak Sesuai",0,IF(AND(N307="Ya",O307="Ya",P307="Sesuai"),1,0.5)))))</f>
        <v/>
      </c>
      <c r="S307" s="30">
        <f>IF(L307="N/A","N/A",IF(R307="","Belum dinilai",IF(R307=1,"Memenuhi",IF(R307=0,"Tidak Memenuhi","Memenuhi Sebagian"))))</f>
        <v/>
      </c>
      <c r="T307" s="31" t="inlineStr">
        <is>
          <t>2.1-2</t>
        </is>
      </c>
      <c r="U307" s="77" t="n"/>
    </row>
    <row r="308" ht="27" customHeight="1">
      <c r="A308" s="77" t="n"/>
      <c r="B308" s="77" t="n"/>
      <c r="C308" s="77" t="n"/>
      <c r="D308" s="77" t="n"/>
      <c r="E308" s="27" t="inlineStr">
        <is>
          <t>A</t>
        </is>
      </c>
      <c r="F308" s="77" t="n"/>
      <c r="G308" s="77" t="n"/>
      <c r="H308" s="77" t="n"/>
      <c r="I308" s="28" t="n">
        <v>4</v>
      </c>
      <c r="J308" s="62" t="inlineStr">
        <is>
          <t>Hasil Kuesioner/Penilaian Pemahaman Pegawai</t>
        </is>
      </c>
      <c r="K308" s="78" t="inlineStr"/>
      <c r="L308" s="29" t="n"/>
      <c r="M308" s="10" t="n"/>
      <c r="N308" s="29" t="n"/>
      <c r="O308" s="29" t="n"/>
      <c r="P308" s="29" t="n"/>
      <c r="Q308" s="10" t="n"/>
      <c r="R308" s="30">
        <f>IF(OR(L308="",L308="N/A"),"",IF(L308="Tidak Ada",0,IF(P308="","",IF(P308="Tidak Sesuai",0,IF(AND(N308="Ya",O308="Ya",P308="Sesuai"),1,0.5)))))</f>
        <v/>
      </c>
      <c r="S308" s="30">
        <f>IF(L308="N/A","N/A",IF(R308="","Belum dinilai",IF(R308=1,"Memenuhi",IF(R308=0,"Tidak Memenuhi","Memenuhi Sebagian"))))</f>
        <v/>
      </c>
      <c r="T308" s="31" t="inlineStr">
        <is>
          <t>2.1-2</t>
        </is>
      </c>
      <c r="U308" s="77" t="n"/>
    </row>
    <row r="309" ht="27" customHeight="1">
      <c r="A309" s="77" t="n"/>
      <c r="B309" s="77" t="n"/>
      <c r="C309" s="77" t="n"/>
      <c r="D309" s="77" t="n"/>
      <c r="E309" s="27" t="inlineStr">
        <is>
          <t>A</t>
        </is>
      </c>
      <c r="F309" s="77" t="n"/>
      <c r="G309" s="77" t="n"/>
      <c r="H309" s="77" t="n"/>
      <c r="I309" s="28" t="n">
        <v>5</v>
      </c>
      <c r="J309" s="62" t="inlineStr">
        <is>
          <t>Risk Register yang memuat risiko dan peluang</t>
        </is>
      </c>
      <c r="K309" s="78" t="inlineStr"/>
      <c r="L309" s="29" t="n"/>
      <c r="M309" s="10" t="n"/>
      <c r="N309" s="29" t="n"/>
      <c r="O309" s="29" t="n"/>
      <c r="P309" s="29" t="n"/>
      <c r="Q309" s="10" t="n"/>
      <c r="R309" s="30">
        <f>IF(OR(L309="",L309="N/A"),"",IF(L309="Tidak Ada",0,IF(P309="","",IF(P309="Tidak Sesuai",0,IF(AND(N309="Ya",O309="Ya",P309="Sesuai"),1,0.5)))))</f>
        <v/>
      </c>
      <c r="S309" s="30">
        <f>IF(L309="N/A","N/A",IF(R309="","Belum dinilai",IF(R309=1,"Memenuhi",IF(R309=0,"Tidak Memenuhi","Memenuhi Sebagian"))))</f>
        <v/>
      </c>
      <c r="T309" s="31" t="inlineStr">
        <is>
          <t>2.1-2</t>
        </is>
      </c>
      <c r="U309" s="77" t="n"/>
    </row>
    <row r="310" ht="27" customHeight="1">
      <c r="A310" s="77" t="n"/>
      <c r="B310" s="77" t="n"/>
      <c r="C310" s="77" t="n"/>
      <c r="D310" s="77" t="n"/>
      <c r="E310" s="27" t="inlineStr">
        <is>
          <t>A</t>
        </is>
      </c>
      <c r="F310" s="79" t="n"/>
      <c r="G310" s="79" t="n"/>
      <c r="H310" s="79" t="n"/>
      <c r="I310" s="28" t="n">
        <v>6</v>
      </c>
      <c r="J310" s="62" t="inlineStr">
        <is>
          <t>Matriks Tindak Lanjut Hasil Reviu Risiko</t>
        </is>
      </c>
      <c r="K310" s="78" t="inlineStr"/>
      <c r="L310" s="29" t="n"/>
      <c r="M310" s="10" t="n"/>
      <c r="N310" s="29" t="n"/>
      <c r="O310" s="29" t="n"/>
      <c r="P310" s="29" t="n"/>
      <c r="Q310" s="10" t="n"/>
      <c r="R310" s="30">
        <f>IF(OR(L310="",L310="N/A"),"",IF(L310="Tidak Ada",0,IF(P310="","",IF(P310="Tidak Sesuai",0,IF(AND(N310="Ya",O310="Ya",P310="Sesuai"),1,0.5)))))</f>
        <v/>
      </c>
      <c r="S310" s="30">
        <f>IF(L310="N/A","N/A",IF(R310="","Belum dinilai",IF(R310=1,"Memenuhi",IF(R310=0,"Tidak Memenuhi","Memenuhi Sebagian"))))</f>
        <v/>
      </c>
      <c r="T310" s="31" t="inlineStr">
        <is>
          <t>2.1-2</t>
        </is>
      </c>
      <c r="U310" s="79" t="n"/>
    </row>
    <row r="311" ht="15" customHeight="1">
      <c r="A311" s="77" t="n"/>
      <c r="B311" s="77" t="n"/>
      <c r="C311" s="77" t="n"/>
      <c r="D311" s="77" t="n"/>
      <c r="E311" s="32" t="inlineStr">
        <is>
          <t>B</t>
        </is>
      </c>
      <c r="F311" s="62" t="inlineStr">
        <is>
          <t>B – Evaluasi &amp; Tindak Lanjut</t>
        </is>
      </c>
      <c r="G311" s="62" t="inlineStr">
        <is>
          <t>Kualitas identifikasi risiko dan register risiko memadai</t>
        </is>
      </c>
      <c r="H311" s="62" t="inlineStr">
        <is>
          <t>Kualitas identifikasi risiko dan register risiko memadai</t>
        </is>
      </c>
      <c r="I311" s="28" t="n">
        <v>1</v>
      </c>
      <c r="J311" s="62" t="inlineStr">
        <is>
          <t>Risk Register OPD</t>
        </is>
      </c>
      <c r="K311" s="78" t="inlineStr"/>
      <c r="L311" s="29" t="n"/>
      <c r="M311" s="10" t="n"/>
      <c r="N311" s="29" t="n"/>
      <c r="O311" s="29" t="n"/>
      <c r="P311" s="29" t="n"/>
      <c r="Q311" s="10" t="n"/>
      <c r="R311" s="30">
        <f>IF(OR(L311="",L311="N/A"),"",IF(L311="Tidak Ada",0,IF(P311="","",IF(P311="Tidak Sesuai",0,IF(AND(N311="Ya",O311="Ya",P311="Sesuai"),1,0.5)))))</f>
        <v/>
      </c>
      <c r="S311" s="30">
        <f>IF(L311="N/A","N/A",IF(R311="","Belum dinilai",IF(R311=1,"Memenuhi",IF(R311=0,"Tidak Memenuhi","Memenuhi Sebagian"))))</f>
        <v/>
      </c>
      <c r="T311" s="31" t="inlineStr">
        <is>
          <t>2.1-2</t>
        </is>
      </c>
      <c r="U311" s="63">
        <f>IF(COUNT(R311:R315)=0,"",SUM(R311:R315)/COUNT(R311:R315))</f>
        <v/>
      </c>
    </row>
    <row r="312" ht="27" customHeight="1">
      <c r="A312" s="77" t="n"/>
      <c r="B312" s="77" t="n"/>
      <c r="C312" s="77" t="n"/>
      <c r="D312" s="77" t="n"/>
      <c r="E312" s="32" t="inlineStr">
        <is>
          <t>B</t>
        </is>
      </c>
      <c r="F312" s="77" t="n"/>
      <c r="G312" s="77" t="n"/>
      <c r="H312" s="77" t="n"/>
      <c r="I312" s="28" t="n">
        <v>2</v>
      </c>
      <c r="J312" s="62" t="inlineStr">
        <is>
          <t>Dokumen Identifikasi dan Penilaian Risiko</t>
        </is>
      </c>
      <c r="K312" s="78" t="inlineStr"/>
      <c r="L312" s="29" t="n"/>
      <c r="M312" s="10" t="n"/>
      <c r="N312" s="29" t="n"/>
      <c r="O312" s="29" t="n"/>
      <c r="P312" s="29" t="n"/>
      <c r="Q312" s="10" t="n"/>
      <c r="R312" s="30">
        <f>IF(OR(L312="",L312="N/A"),"",IF(L312="Tidak Ada",0,IF(P312="","",IF(P312="Tidak Sesuai",0,IF(AND(N312="Ya",O312="Ya",P312="Sesuai"),1,0.5)))))</f>
        <v/>
      </c>
      <c r="S312" s="30">
        <f>IF(L312="N/A","N/A",IF(R312="","Belum dinilai",IF(R312=1,"Memenuhi",IF(R312=0,"Tidak Memenuhi","Memenuhi Sebagian"))))</f>
        <v/>
      </c>
      <c r="T312" s="31" t="inlineStr">
        <is>
          <t>2.1-2</t>
        </is>
      </c>
      <c r="U312" s="77" t="n"/>
    </row>
    <row r="313" ht="27" customHeight="1">
      <c r="A313" s="77" t="n"/>
      <c r="B313" s="77" t="n"/>
      <c r="C313" s="77" t="n"/>
      <c r="D313" s="77" t="n"/>
      <c r="E313" s="32" t="inlineStr">
        <is>
          <t>B</t>
        </is>
      </c>
      <c r="F313" s="77" t="n"/>
      <c r="G313" s="77" t="n"/>
      <c r="H313" s="77" t="n"/>
      <c r="I313" s="28" t="n">
        <v>3</v>
      </c>
      <c r="J313" s="62" t="inlineStr">
        <is>
          <t>Berita Acara/Notulen Identifikasi Risiko</t>
        </is>
      </c>
      <c r="K313" s="78" t="inlineStr"/>
      <c r="L313" s="29" t="n"/>
      <c r="M313" s="10" t="n"/>
      <c r="N313" s="29" t="n"/>
      <c r="O313" s="29" t="n"/>
      <c r="P313" s="29" t="n"/>
      <c r="Q313" s="10" t="n"/>
      <c r="R313" s="30">
        <f>IF(OR(L313="",L313="N/A"),"",IF(L313="Tidak Ada",0,IF(P313="","",IF(P313="Tidak Sesuai",0,IF(AND(N313="Ya",O313="Ya",P313="Sesuai"),1,0.5)))))</f>
        <v/>
      </c>
      <c r="S313" s="30">
        <f>IF(L313="N/A","N/A",IF(R313="","Belum dinilai",IF(R313=1,"Memenuhi",IF(R313=0,"Tidak Memenuhi","Memenuhi Sebagian"))))</f>
        <v/>
      </c>
      <c r="T313" s="31" t="inlineStr">
        <is>
          <t>2.1-2</t>
        </is>
      </c>
      <c r="U313" s="77" t="n"/>
    </row>
    <row r="314" ht="27" customHeight="1">
      <c r="A314" s="77" t="n"/>
      <c r="B314" s="77" t="n"/>
      <c r="C314" s="77" t="n"/>
      <c r="D314" s="77" t="n"/>
      <c r="E314" s="32" t="inlineStr">
        <is>
          <t>B</t>
        </is>
      </c>
      <c r="F314" s="77" t="n"/>
      <c r="G314" s="77" t="n"/>
      <c r="H314" s="77" t="n"/>
      <c r="I314" s="28" t="n">
        <v>4</v>
      </c>
      <c r="J314" s="62" t="inlineStr">
        <is>
          <t>Daftar Hadir Peserta Identifikasi Risiko</t>
        </is>
      </c>
      <c r="K314" s="78" t="inlineStr"/>
      <c r="L314" s="29" t="n"/>
      <c r="M314" s="10" t="n"/>
      <c r="N314" s="29" t="n"/>
      <c r="O314" s="29" t="n"/>
      <c r="P314" s="29" t="n"/>
      <c r="Q314" s="10" t="n"/>
      <c r="R314" s="30">
        <f>IF(OR(L314="",L314="N/A"),"",IF(L314="Tidak Ada",0,IF(P314="","",IF(P314="Tidak Sesuai",0,IF(AND(N314="Ya",O314="Ya",P314="Sesuai"),1,0.5)))))</f>
        <v/>
      </c>
      <c r="S314" s="30">
        <f>IF(L314="N/A","N/A",IF(R314="","Belum dinilai",IF(R314=1,"Memenuhi",IF(R314=0,"Tidak Memenuhi","Memenuhi Sebagian"))))</f>
        <v/>
      </c>
      <c r="T314" s="31" t="inlineStr">
        <is>
          <t>2.1-2</t>
        </is>
      </c>
      <c r="U314" s="77" t="n"/>
    </row>
    <row r="315" ht="27" customHeight="1">
      <c r="A315" s="77" t="n"/>
      <c r="B315" s="77" t="n"/>
      <c r="C315" s="77" t="n"/>
      <c r="D315" s="77" t="n"/>
      <c r="E315" s="32" t="inlineStr">
        <is>
          <t>B</t>
        </is>
      </c>
      <c r="F315" s="79" t="n"/>
      <c r="G315" s="79" t="n"/>
      <c r="H315" s="79" t="n"/>
      <c r="I315" s="28" t="n">
        <v>5</v>
      </c>
      <c r="J315" s="62" t="inlineStr">
        <is>
          <t>Hasil Kuesioner/Penilaian Pemahaman Proses Bisnis peserta/Pegawai</t>
        </is>
      </c>
      <c r="K315" s="78" t="inlineStr"/>
      <c r="L315" s="29" t="n"/>
      <c r="M315" s="10" t="n"/>
      <c r="N315" s="29" t="n"/>
      <c r="O315" s="29" t="n"/>
      <c r="P315" s="29" t="n"/>
      <c r="Q315" s="10" t="n"/>
      <c r="R315" s="30">
        <f>IF(OR(L315="",L315="N/A"),"",IF(L315="Tidak Ada",0,IF(P315="","",IF(P315="Tidak Sesuai",0,IF(AND(N315="Ya",O315="Ya",P315="Sesuai"),1,0.5)))))</f>
        <v/>
      </c>
      <c r="S315" s="30">
        <f>IF(L315="N/A","N/A",IF(R315="","Belum dinilai",IF(R315=1,"Memenuhi",IF(R315=0,"Tidak Memenuhi","Memenuhi Sebagian"))))</f>
        <v/>
      </c>
      <c r="T315" s="31" t="inlineStr">
        <is>
          <t>2.1-2</t>
        </is>
      </c>
      <c r="U315" s="79" t="n"/>
    </row>
    <row r="316" ht="15" customHeight="1">
      <c r="A316" s="77" t="n"/>
      <c r="B316" s="77" t="n"/>
      <c r="C316" s="77" t="n"/>
      <c r="D316" s="77" t="n"/>
      <c r="E316" s="33" t="inlineStr">
        <is>
          <t>C</t>
        </is>
      </c>
      <c r="F316" s="62" t="inlineStr">
        <is>
          <t>C – Implementasi</t>
        </is>
      </c>
      <c r="G316" s="62" t="inlineStr">
        <is>
          <t>Kualitas identifikasi risiko dan register risiko cukup memadai</t>
        </is>
      </c>
      <c r="H316" s="62" t="inlineStr">
        <is>
          <t>Kualitas identifikasi risiko dan register risiko cukup memadai</t>
        </is>
      </c>
      <c r="I316" s="28" t="n">
        <v>1</v>
      </c>
      <c r="J316" s="62" t="inlineStr">
        <is>
          <t>Risk Register OPD</t>
        </is>
      </c>
      <c r="K316" s="78" t="inlineStr"/>
      <c r="L316" s="29" t="inlineStr">
        <is>
          <t>Ada</t>
        </is>
      </c>
      <c r="M316" s="66" t="inlineStr">
        <is>
          <t>RR Inspektur, irban, Auditor</t>
        </is>
      </c>
      <c r="N316" s="29" t="inlineStr">
        <is>
          <t>Ya</t>
        </is>
      </c>
      <c r="O316" s="29" t="inlineStr">
        <is>
          <t>Ya</t>
        </is>
      </c>
      <c r="P316" s="29" t="inlineStr">
        <is>
          <t>Sesuai</t>
        </is>
      </c>
      <c r="Q316" s="10" t="n"/>
      <c r="R316" s="30">
        <f>IF(OR(L316="",L316="N/A"),"",IF(L316="Tidak Ada",0,IF(P316="","",IF(P316="Tidak Sesuai",0,IF(AND(N316="Ya",O316="Ya",P316="Sesuai"),1,0.5)))))</f>
        <v/>
      </c>
      <c r="S316" s="30">
        <f>IF(L316="N/A","N/A",IF(R316="","Belum dinilai",IF(R316=1,"Memenuhi",IF(R316=0,"Tidak Memenuhi","Memenuhi Sebagian"))))</f>
        <v/>
      </c>
      <c r="T316" s="31" t="inlineStr">
        <is>
          <t>2.1-2</t>
        </is>
      </c>
      <c r="U316" s="63">
        <f>IF(COUNT(R316:R320)=0,"",SUM(R316:R320)/COUNT(R316:R320))</f>
        <v/>
      </c>
    </row>
    <row r="317" ht="15" customHeight="1">
      <c r="A317" s="77" t="n"/>
      <c r="B317" s="77" t="n"/>
      <c r="C317" s="77" t="n"/>
      <c r="D317" s="77" t="n"/>
      <c r="E317" s="33" t="inlineStr">
        <is>
          <t>C</t>
        </is>
      </c>
      <c r="F317" s="77" t="n"/>
      <c r="G317" s="77" t="n"/>
      <c r="H317" s="77" t="n"/>
      <c r="I317" s="28" t="n">
        <v>2</v>
      </c>
      <c r="J317" s="62" t="inlineStr">
        <is>
          <t>Dokumen Identifikasi Risiko</t>
        </is>
      </c>
      <c r="K317" s="78" t="inlineStr"/>
      <c r="L317" s="29" t="inlineStr">
        <is>
          <t>Ada</t>
        </is>
      </c>
      <c r="M317" s="66" t="inlineStr">
        <is>
          <t>Dokumen RR Inspektur, irban, Auditor</t>
        </is>
      </c>
      <c r="N317" s="29" t="inlineStr">
        <is>
          <t>Ya</t>
        </is>
      </c>
      <c r="O317" s="29" t="inlineStr">
        <is>
          <t>Ya</t>
        </is>
      </c>
      <c r="P317" s="29" t="inlineStr">
        <is>
          <t>Sesuai</t>
        </is>
      </c>
      <c r="Q317" s="10" t="n"/>
      <c r="R317" s="30">
        <f>IF(OR(L317="",L317="N/A"),"",IF(L317="Tidak Ada",0,IF(P317="","",IF(P317="Tidak Sesuai",0,IF(AND(N317="Ya",O317="Ya",P317="Sesuai"),1,0.5)))))</f>
        <v/>
      </c>
      <c r="S317" s="30">
        <f>IF(L317="N/A","N/A",IF(R317="","Belum dinilai",IF(R317=1,"Memenuhi",IF(R317=0,"Tidak Memenuhi","Memenuhi Sebagian"))))</f>
        <v/>
      </c>
      <c r="T317" s="31" t="inlineStr">
        <is>
          <t>2.1-2</t>
        </is>
      </c>
      <c r="U317" s="77" t="n"/>
    </row>
    <row r="318" ht="27" customHeight="1">
      <c r="A318" s="77" t="n"/>
      <c r="B318" s="77" t="n"/>
      <c r="C318" s="77" t="n"/>
      <c r="D318" s="77" t="n"/>
      <c r="E318" s="33" t="inlineStr">
        <is>
          <t>C</t>
        </is>
      </c>
      <c r="F318" s="77" t="n"/>
      <c r="G318" s="77" t="n"/>
      <c r="H318" s="77" t="n"/>
      <c r="I318" s="28" t="n">
        <v>3</v>
      </c>
      <c r="J318" s="62" t="inlineStr">
        <is>
          <t>Berita Acara/Notulen Identifikasi Risiko</t>
        </is>
      </c>
      <c r="K318" s="78" t="inlineStr"/>
      <c r="L318" s="29" t="n"/>
      <c r="M318" s="10" t="n"/>
      <c r="N318" s="29" t="n"/>
      <c r="O318" s="29" t="n"/>
      <c r="P318" s="29" t="n"/>
      <c r="Q318" s="10" t="n"/>
      <c r="R318" s="30">
        <f>IF(OR(L318="",L318="N/A"),"",IF(L318="Tidak Ada",0,IF(P318="","",IF(P318="Tidak Sesuai",0,IF(AND(N318="Ya",O318="Ya",P318="Sesuai"),1,0.5)))))</f>
        <v/>
      </c>
      <c r="S318" s="30">
        <f>IF(L318="N/A","N/A",IF(R318="","Belum dinilai",IF(R318=1,"Memenuhi",IF(R318=0,"Tidak Memenuhi","Memenuhi Sebagian"))))</f>
        <v/>
      </c>
      <c r="T318" s="31" t="inlineStr">
        <is>
          <t>2.1-2</t>
        </is>
      </c>
      <c r="U318" s="77" t="n"/>
    </row>
    <row r="319" ht="27" customHeight="1">
      <c r="A319" s="77" t="n"/>
      <c r="B319" s="77" t="n"/>
      <c r="C319" s="77" t="n"/>
      <c r="D319" s="77" t="n"/>
      <c r="E319" s="33" t="inlineStr">
        <is>
          <t>C</t>
        </is>
      </c>
      <c r="F319" s="77" t="n"/>
      <c r="G319" s="77" t="n"/>
      <c r="H319" s="77" t="n"/>
      <c r="I319" s="28" t="n">
        <v>4</v>
      </c>
      <c r="J319" s="62" t="inlineStr">
        <is>
          <t>Daftar Peserta/Daftar Hadir Identifikasi Risiko</t>
        </is>
      </c>
      <c r="K319" s="78" t="inlineStr"/>
      <c r="L319" s="29" t="n"/>
      <c r="M319" s="10" t="n"/>
      <c r="N319" s="29" t="n"/>
      <c r="O319" s="29" t="n"/>
      <c r="P319" s="29" t="n"/>
      <c r="Q319" s="10" t="n"/>
      <c r="R319" s="30">
        <f>IF(OR(L319="",L319="N/A"),"",IF(L319="Tidak Ada",0,IF(P319="","",IF(P319="Tidak Sesuai",0,IF(AND(N319="Ya",O319="Ya",P319="Sesuai"),1,0.5)))))</f>
        <v/>
      </c>
      <c r="S319" s="30">
        <f>IF(L319="N/A","N/A",IF(R319="","Belum dinilai",IF(R319=1,"Memenuhi",IF(R319=0,"Tidak Memenuhi","Memenuhi Sebagian"))))</f>
        <v/>
      </c>
      <c r="T319" s="31" t="inlineStr">
        <is>
          <t>2.1-2</t>
        </is>
      </c>
      <c r="U319" s="77" t="n"/>
    </row>
    <row r="320" ht="27" customHeight="1">
      <c r="A320" s="77" t="n"/>
      <c r="B320" s="77" t="n"/>
      <c r="C320" s="77" t="n"/>
      <c r="D320" s="77" t="n"/>
      <c r="E320" s="33" t="inlineStr">
        <is>
          <t>C</t>
        </is>
      </c>
      <c r="F320" s="79" t="n"/>
      <c r="G320" s="79" t="n"/>
      <c r="H320" s="79" t="n"/>
      <c r="I320" s="28" t="n">
        <v>5</v>
      </c>
      <c r="J320" s="62" t="inlineStr">
        <is>
          <t>Hasil Kuesioner/Penilaian Pemahaman Pegawai tentang Proses Bisnis</t>
        </is>
      </c>
      <c r="K320" s="78" t="inlineStr"/>
      <c r="L320" s="29" t="n"/>
      <c r="M320" s="10" t="n"/>
      <c r="N320" s="29" t="n"/>
      <c r="O320" s="29" t="n"/>
      <c r="P320" s="29" t="n"/>
      <c r="Q320" s="10" t="n"/>
      <c r="R320" s="30">
        <f>IF(OR(L320="",L320="N/A"),"",IF(L320="Tidak Ada",0,IF(P320="","",IF(P320="Tidak Sesuai",0,IF(AND(N320="Ya",O320="Ya",P320="Sesuai"),1,0.5)))))</f>
        <v/>
      </c>
      <c r="S320" s="30">
        <f>IF(L320="N/A","N/A",IF(R320="","Belum dinilai",IF(R320=1,"Memenuhi",IF(R320=0,"Tidak Memenuhi","Memenuhi Sebagian"))))</f>
        <v/>
      </c>
      <c r="T320" s="31" t="inlineStr">
        <is>
          <t>2.1-2</t>
        </is>
      </c>
      <c r="U320" s="79" t="n"/>
    </row>
    <row r="321" ht="15" customHeight="1">
      <c r="A321" s="77" t="n"/>
      <c r="B321" s="77" t="n"/>
      <c r="C321" s="77" t="n"/>
      <c r="D321" s="77" t="n"/>
      <c r="E321" s="34" t="inlineStr">
        <is>
          <t>D</t>
        </is>
      </c>
      <c r="F321" s="62" t="inlineStr">
        <is>
          <t>D – Komunikasi &amp; Pemahaman</t>
        </is>
      </c>
      <c r="G321" s="62" t="inlineStr">
        <is>
          <t>Kualitas identifikasi risiko dan register risiko belum memadai</t>
        </is>
      </c>
      <c r="H321" s="62" t="inlineStr">
        <is>
          <t>Kualitas identifikasi risiko dan register risiko belum memadai</t>
        </is>
      </c>
      <c r="I321" s="28" t="n">
        <v>1</v>
      </c>
      <c r="J321" s="62" t="inlineStr">
        <is>
          <t>Risk Register OPD</t>
        </is>
      </c>
      <c r="K321" s="78" t="inlineStr"/>
      <c r="L321" s="29" t="n"/>
      <c r="M321" s="10" t="n"/>
      <c r="N321" s="29" t="n"/>
      <c r="O321" s="29" t="n"/>
      <c r="P321" s="29" t="n"/>
      <c r="Q321" s="10" t="n"/>
      <c r="R321" s="30">
        <f>IF(OR(L321="",L321="N/A"),"",IF(L321="Tidak Ada",0,IF(P321="","",IF(P321="Tidak Sesuai",0,IF(AND(N321="Ya",O321="Ya",P321="Sesuai"),1,0.5)))))</f>
        <v/>
      </c>
      <c r="S321" s="30">
        <f>IF(L321="N/A","N/A",IF(R321="","Belum dinilai",IF(R321=1,"Memenuhi",IF(R321=0,"Tidak Memenuhi","Memenuhi Sebagian"))))</f>
        <v/>
      </c>
      <c r="T321" s="31" t="inlineStr">
        <is>
          <t>2.1-2</t>
        </is>
      </c>
      <c r="U321" s="63">
        <f>IF(COUNT(R321:R323)=0,"",SUM(R321:R323)/COUNT(R321:R323))</f>
        <v/>
      </c>
    </row>
    <row r="322" ht="27" customHeight="1">
      <c r="A322" s="77" t="n"/>
      <c r="B322" s="77" t="n"/>
      <c r="C322" s="77" t="n"/>
      <c r="D322" s="77" t="n"/>
      <c r="E322" s="34" t="inlineStr">
        <is>
          <t>D</t>
        </is>
      </c>
      <c r="F322" s="77" t="n"/>
      <c r="G322" s="77" t="n"/>
      <c r="H322" s="77" t="n"/>
      <c r="I322" s="28" t="n">
        <v>2</v>
      </c>
      <c r="J322" s="62" t="inlineStr">
        <is>
          <t>Dokumen Penetapan Konteks/Ruang Lingkup Manajemen Risiko</t>
        </is>
      </c>
      <c r="K322" s="78" t="inlineStr"/>
      <c r="L322" s="29" t="n"/>
      <c r="M322" s="10" t="n"/>
      <c r="N322" s="29" t="n"/>
      <c r="O322" s="29" t="n"/>
      <c r="P322" s="29" t="n"/>
      <c r="Q322" s="10" t="n"/>
      <c r="R322" s="30">
        <f>IF(OR(L322="",L322="N/A"),"",IF(L322="Tidak Ada",0,IF(P322="","",IF(P322="Tidak Sesuai",0,IF(AND(N322="Ya",O322="Ya",P322="Sesuai"),1,0.5)))))</f>
        <v/>
      </c>
      <c r="S322" s="30">
        <f>IF(L322="N/A","N/A",IF(R322="","Belum dinilai",IF(R322=1,"Memenuhi",IF(R322=0,"Tidak Memenuhi","Memenuhi Sebagian"))))</f>
        <v/>
      </c>
      <c r="T322" s="31" t="inlineStr">
        <is>
          <t>2.1-2</t>
        </is>
      </c>
      <c r="U322" s="77" t="n"/>
    </row>
    <row r="323" ht="27" customHeight="1">
      <c r="A323" s="77" t="n"/>
      <c r="B323" s="77" t="n"/>
      <c r="C323" s="77" t="n"/>
      <c r="D323" s="77" t="n"/>
      <c r="E323" s="34" t="inlineStr">
        <is>
          <t>D</t>
        </is>
      </c>
      <c r="F323" s="79" t="n"/>
      <c r="G323" s="79" t="n"/>
      <c r="H323" s="79" t="n"/>
      <c r="I323" s="28" t="n">
        <v>3</v>
      </c>
      <c r="J323" s="62" t="inlineStr">
        <is>
          <t>Notulen / Berita Acara Dokumen Identifikasi Risiko</t>
        </is>
      </c>
      <c r="K323" s="78" t="inlineStr"/>
      <c r="L323" s="29" t="n"/>
      <c r="M323" s="10" t="n"/>
      <c r="N323" s="29" t="n"/>
      <c r="O323" s="29" t="n"/>
      <c r="P323" s="29" t="n"/>
      <c r="Q323" s="10" t="n"/>
      <c r="R323" s="30">
        <f>IF(OR(L323="",L323="N/A"),"",IF(L323="Tidak Ada",0,IF(P323="","",IF(P323="Tidak Sesuai",0,IF(AND(N323="Ya",O323="Ya",P323="Sesuai"),1,0.5)))))</f>
        <v/>
      </c>
      <c r="S323" s="30">
        <f>IF(L323="N/A","N/A",IF(R323="","Belum dinilai",IF(R323=1,"Memenuhi",IF(R323=0,"Tidak Memenuhi","Memenuhi Sebagian"))))</f>
        <v/>
      </c>
      <c r="T323" s="31" t="inlineStr">
        <is>
          <t>2.1-2</t>
        </is>
      </c>
      <c r="U323" s="79" t="n"/>
    </row>
    <row r="324" ht="39" customHeight="1">
      <c r="A324" s="79" t="n"/>
      <c r="B324" s="79" t="n"/>
      <c r="C324" s="79" t="n"/>
      <c r="D324" s="79" t="n"/>
      <c r="E324" s="35" t="inlineStr">
        <is>
          <t>E</t>
        </is>
      </c>
      <c r="F324" s="62" t="inlineStr">
        <is>
          <t>E – Kebijakan/Formalitas</t>
        </is>
      </c>
      <c r="G324" s="62" t="inlineStr">
        <is>
          <t>Register risiko telah disusun</t>
        </is>
      </c>
      <c r="H324" s="62" t="inlineStr">
        <is>
          <t>Organisasi telah memiliki/menetapkan register risiko telah disusun</t>
        </is>
      </c>
      <c r="I324" s="28" t="n">
        <v>1</v>
      </c>
      <c r="J324" s="62" t="inlineStr">
        <is>
          <t>Risk Register OPD</t>
        </is>
      </c>
      <c r="K324" s="78" t="inlineStr"/>
      <c r="L324" s="29" t="n"/>
      <c r="M324" s="10" t="n"/>
      <c r="N324" s="29" t="n"/>
      <c r="O324" s="29" t="n"/>
      <c r="P324" s="29" t="n"/>
      <c r="Q324" s="10" t="n"/>
      <c r="R324" s="30">
        <f>IF(OR(L324="",L324="N/A"),"",IF(L324="Tidak Ada",0,IF(P324="","",IF(P324="Tidak Sesuai",0,IF(AND(N324="Ya",O324="Ya",P324="Sesuai"),1,0.5)))))</f>
        <v/>
      </c>
      <c r="S324" s="30">
        <f>IF(L324="N/A","N/A",IF(R324="","Belum dinilai",IF(R324=1,"Memenuhi",IF(R324=0,"Tidak Memenuhi","Memenuhi Sebagian"))))</f>
        <v/>
      </c>
      <c r="T324" s="31" t="inlineStr">
        <is>
          <t>2.1-2</t>
        </is>
      </c>
      <c r="U324" s="63">
        <f>IF(COUNT(R324:R324)=0,"",SUM(R324:R324)/COUNT(R324:R324))</f>
        <v/>
      </c>
    </row>
    <row r="325" ht="27" customHeight="1">
      <c r="A325" s="56" t="inlineStr">
        <is>
          <t>2.1</t>
        </is>
      </c>
      <c r="B325" s="57" t="inlineStr">
        <is>
          <t>Identifikasi Risiko</t>
        </is>
      </c>
      <c r="C325" s="58" t="n">
        <v>3</v>
      </c>
      <c r="D325" s="59" t="inlineStr">
        <is>
          <t>Proses manajemen risiko telah melekat pada proses bisnis K/L/D</t>
        </is>
      </c>
      <c r="E325" s="21" t="inlineStr">
        <is>
          <t>A</t>
        </is>
      </c>
      <c r="F325" s="60" t="inlineStr">
        <is>
          <t>A – Perbaikan Berkelanjutan</t>
        </is>
      </c>
      <c r="G325" s="60" t="inlineStr">
        <is>
          <t>Proses manajemen risiko mendukung inovasi, diidentifikasi untuk memaksimalkan peluang dan dijadikan bahan pembelajaran</t>
        </is>
      </c>
      <c r="H325" s="60" t="inlineStr">
        <is>
          <t>Proses manajemen risiko mendukung inovasi, diidentifikasi untuk memaksimalkan peluang dan dijadikan bahan pembelajaran</t>
        </is>
      </c>
      <c r="I325" s="22" t="n">
        <v>1</v>
      </c>
      <c r="J325" s="60" t="inlineStr">
        <is>
          <t>Laporan Evaluasi Penerapan Manajemen Risiko</t>
        </is>
      </c>
      <c r="K325" s="76" t="inlineStr"/>
      <c r="L325" s="23" t="n"/>
      <c r="M325" s="24" t="n"/>
      <c r="N325" s="23" t="n"/>
      <c r="O325" s="23" t="n"/>
      <c r="P325" s="23" t="n"/>
      <c r="Q325" s="24" t="n"/>
      <c r="R325" s="25">
        <f>IF(OR(L325="",L325="N/A"),"",IF(L325="Tidak Ada",0,IF(P325="","",IF(P325="Tidak Sesuai",0,IF(AND(N325="Ya",O325="Ya",P325="Sesuai"),1,0.5)))))</f>
        <v/>
      </c>
      <c r="S325" s="25">
        <f>IF(L325="N/A","N/A",IF(R325="","Belum dinilai",IF(R325=1,"Memenuhi",IF(R325=0,"Tidak Memenuhi","Memenuhi Sebagian"))))</f>
        <v/>
      </c>
      <c r="T325" s="26" t="inlineStr">
        <is>
          <t>2.1-3</t>
        </is>
      </c>
      <c r="U325" s="61">
        <f>IF(COUNT(R325:R329)=0,"",SUM(R325:R329)/COUNT(R325:R329))</f>
        <v/>
      </c>
    </row>
    <row r="326" ht="27" customHeight="1">
      <c r="A326" s="77" t="n"/>
      <c r="B326" s="77" t="n"/>
      <c r="C326" s="77" t="n"/>
      <c r="D326" s="77" t="n"/>
      <c r="E326" s="27" t="inlineStr">
        <is>
          <t>A</t>
        </is>
      </c>
      <c r="F326" s="77" t="n"/>
      <c r="G326" s="77" t="n"/>
      <c r="H326" s="77" t="n"/>
      <c r="I326" s="28" t="n">
        <v>2</v>
      </c>
      <c r="J326" s="62" t="inlineStr">
        <is>
          <t>Risk Register yang memuat risiko dan peluang</t>
        </is>
      </c>
      <c r="K326" s="78" t="inlineStr"/>
      <c r="L326" s="29" t="n"/>
      <c r="M326" s="10" t="n"/>
      <c r="N326" s="29" t="n"/>
      <c r="O326" s="29" t="n"/>
      <c r="P326" s="29" t="n"/>
      <c r="Q326" s="10" t="n"/>
      <c r="R326" s="30">
        <f>IF(OR(L326="",L326="N/A"),"",IF(L326="Tidak Ada",0,IF(P326="","",IF(P326="Tidak Sesuai",0,IF(AND(N326="Ya",O326="Ya",P326="Sesuai"),1,0.5)))))</f>
        <v/>
      </c>
      <c r="S326" s="30">
        <f>IF(L326="N/A","N/A",IF(R326="","Belum dinilai",IF(R326=1,"Memenuhi",IF(R326=0,"Tidak Memenuhi","Memenuhi Sebagian"))))</f>
        <v/>
      </c>
      <c r="T326" s="31" t="inlineStr">
        <is>
          <t>2.1-3</t>
        </is>
      </c>
      <c r="U326" s="77" t="n"/>
    </row>
    <row r="327" ht="27" customHeight="1">
      <c r="A327" s="77" t="n"/>
      <c r="B327" s="77" t="n"/>
      <c r="C327" s="77" t="n"/>
      <c r="D327" s="77" t="n"/>
      <c r="E327" s="27" t="inlineStr">
        <is>
          <t>A</t>
        </is>
      </c>
      <c r="F327" s="77" t="n"/>
      <c r="G327" s="77" t="n"/>
      <c r="H327" s="77" t="n"/>
      <c r="I327" s="28" t="n">
        <v>3</v>
      </c>
      <c r="J327" s="62" t="inlineStr">
        <is>
          <t>Nota Dinas/Notulen Rapat/Telaahan Staf Hasil Analisis Risiko</t>
        </is>
      </c>
      <c r="K327" s="78" t="inlineStr"/>
      <c r="L327" s="29" t="n"/>
      <c r="M327" s="10" t="n"/>
      <c r="N327" s="29" t="n"/>
      <c r="O327" s="29" t="n"/>
      <c r="P327" s="29" t="n"/>
      <c r="Q327" s="10" t="n"/>
      <c r="R327" s="30">
        <f>IF(OR(L327="",L327="N/A"),"",IF(L327="Tidak Ada",0,IF(P327="","",IF(P327="Tidak Sesuai",0,IF(AND(N327="Ya",O327="Ya",P327="Sesuai"),1,0.5)))))</f>
        <v/>
      </c>
      <c r="S327" s="30">
        <f>IF(L327="N/A","N/A",IF(R327="","Belum dinilai",IF(R327=1,"Memenuhi",IF(R327=0,"Tidak Memenuhi","Memenuhi Sebagian"))))</f>
        <v/>
      </c>
      <c r="T327" s="31" t="inlineStr">
        <is>
          <t>2.1-3</t>
        </is>
      </c>
      <c r="U327" s="77" t="n"/>
    </row>
    <row r="328" ht="27" customHeight="1">
      <c r="A328" s="77" t="n"/>
      <c r="B328" s="77" t="n"/>
      <c r="C328" s="77" t="n"/>
      <c r="D328" s="77" t="n"/>
      <c r="E328" s="27" t="inlineStr">
        <is>
          <t>A</t>
        </is>
      </c>
      <c r="F328" s="77" t="n"/>
      <c r="G328" s="77" t="n"/>
      <c r="H328" s="77" t="n"/>
      <c r="I328" s="28" t="n">
        <v>4</v>
      </c>
      <c r="J328" s="62" t="inlineStr">
        <is>
          <t>Dokumen inovasi/perbaikan proses berdasarkan hasil MR</t>
        </is>
      </c>
      <c r="K328" s="78" t="inlineStr"/>
      <c r="L328" s="29" t="n"/>
      <c r="M328" s="10" t="n"/>
      <c r="N328" s="29" t="n"/>
      <c r="O328" s="29" t="n"/>
      <c r="P328" s="29" t="n"/>
      <c r="Q328" s="10" t="n"/>
      <c r="R328" s="30">
        <f>IF(OR(L328="",L328="N/A"),"",IF(L328="Tidak Ada",0,IF(P328="","",IF(P328="Tidak Sesuai",0,IF(AND(N328="Ya",O328="Ya",P328="Sesuai"),1,0.5)))))</f>
        <v/>
      </c>
      <c r="S328" s="30">
        <f>IF(L328="N/A","N/A",IF(R328="","Belum dinilai",IF(R328=1,"Memenuhi",IF(R328=0,"Tidak Memenuhi","Memenuhi Sebagian"))))</f>
        <v/>
      </c>
      <c r="T328" s="31" t="inlineStr">
        <is>
          <t>2.1-3</t>
        </is>
      </c>
      <c r="U328" s="77" t="n"/>
    </row>
    <row r="329" ht="27" customHeight="1">
      <c r="A329" s="77" t="n"/>
      <c r="B329" s="77" t="n"/>
      <c r="C329" s="77" t="n"/>
      <c r="D329" s="77" t="n"/>
      <c r="E329" s="27" t="inlineStr">
        <is>
          <t>A</t>
        </is>
      </c>
      <c r="F329" s="79" t="n"/>
      <c r="G329" s="79" t="n"/>
      <c r="H329" s="79" t="n"/>
      <c r="I329" s="28" t="n">
        <v>5</v>
      </c>
      <c r="J329" s="62" t="inlineStr">
        <is>
          <t>Dokumen lesson learned/tindak lanjut hasil evaluasi MR</t>
        </is>
      </c>
      <c r="K329" s="78" t="inlineStr"/>
      <c r="L329" s="29" t="n"/>
      <c r="M329" s="10" t="n"/>
      <c r="N329" s="29" t="n"/>
      <c r="O329" s="29" t="n"/>
      <c r="P329" s="29" t="n"/>
      <c r="Q329" s="10" t="n"/>
      <c r="R329" s="30">
        <f>IF(OR(L329="",L329="N/A"),"",IF(L329="Tidak Ada",0,IF(P329="","",IF(P329="Tidak Sesuai",0,IF(AND(N329="Ya",O329="Ya",P329="Sesuai"),1,0.5)))))</f>
        <v/>
      </c>
      <c r="S329" s="30">
        <f>IF(L329="N/A","N/A",IF(R329="","Belum dinilai",IF(R329=1,"Memenuhi",IF(R329=0,"Tidak Memenuhi","Memenuhi Sebagian"))))</f>
        <v/>
      </c>
      <c r="T329" s="31" t="inlineStr">
        <is>
          <t>2.1-3</t>
        </is>
      </c>
      <c r="U329" s="79" t="n"/>
    </row>
    <row r="330" ht="27" customHeight="1">
      <c r="A330" s="77" t="n"/>
      <c r="B330" s="77" t="n"/>
      <c r="C330" s="77" t="n"/>
      <c r="D330" s="77" t="n"/>
      <c r="E330" s="32" t="inlineStr">
        <is>
          <t>B</t>
        </is>
      </c>
      <c r="F330" s="62" t="inlineStr">
        <is>
          <t>B – Evaluasi &amp; Tindak Lanjut</t>
        </is>
      </c>
      <c r="G330" s="62" t="inlineStr">
        <is>
          <t>Proses manajemen risiko telah diterapkan secara konsisten, terintegrasi dengan proses bisnis dan proses perencanaan tingkat operasional unit kerja, strategis unit kerja, dan strategis K/L/D</t>
        </is>
      </c>
      <c r="H330" s="62" t="inlineStr">
        <is>
          <t>Proses manajemen risiko telah diterapkan secara konsisten, terintegrasi dengan proses bisnis dan proses perencanaan tingkat operasional unit kerja, strategis unit kerja, dan strategis K/L/D</t>
        </is>
      </c>
      <c r="I330" s="28" t="n">
        <v>1</v>
      </c>
      <c r="J330" s="62" t="inlineStr">
        <is>
          <t>Risk Register OPD</t>
        </is>
      </c>
      <c r="K330" s="78" t="inlineStr"/>
      <c r="L330" s="29" t="n"/>
      <c r="M330" s="10" t="n"/>
      <c r="N330" s="29" t="n"/>
      <c r="O330" s="29" t="n"/>
      <c r="P330" s="29" t="n"/>
      <c r="Q330" s="10" t="n"/>
      <c r="R330" s="30">
        <f>IF(OR(L330="",L330="N/A"),"",IF(L330="Tidak Ada",0,IF(P330="","",IF(P330="Tidak Sesuai",0,IF(AND(N330="Ya",O330="Ya",P330="Sesuai"),1,0.5)))))</f>
        <v/>
      </c>
      <c r="S330" s="30">
        <f>IF(L330="N/A","N/A",IF(R330="","Belum dinilai",IF(R330=1,"Memenuhi",IF(R330=0,"Tidak Memenuhi","Memenuhi Sebagian"))))</f>
        <v/>
      </c>
      <c r="T330" s="31" t="inlineStr">
        <is>
          <t>2.1-3</t>
        </is>
      </c>
      <c r="U330" s="63">
        <f>IF(COUNT(R330:R334)=0,"",SUM(R330:R334)/COUNT(R330:R334))</f>
        <v/>
      </c>
    </row>
    <row r="331" ht="27" customHeight="1">
      <c r="A331" s="77" t="n"/>
      <c r="B331" s="77" t="n"/>
      <c r="C331" s="77" t="n"/>
      <c r="D331" s="77" t="n"/>
      <c r="E331" s="32" t="inlineStr">
        <is>
          <t>B</t>
        </is>
      </c>
      <c r="F331" s="77" t="n"/>
      <c r="G331" s="77" t="n"/>
      <c r="H331" s="77" t="n"/>
      <c r="I331" s="28" t="n">
        <v>2</v>
      </c>
      <c r="J331" s="62" t="inlineStr">
        <is>
          <t>Renstra/RPJMD atau dokumen strategis yang mempertimbangkan risiko</t>
        </is>
      </c>
      <c r="K331" s="78" t="inlineStr"/>
      <c r="L331" s="29" t="n"/>
      <c r="M331" s="10" t="n"/>
      <c r="N331" s="29" t="n"/>
      <c r="O331" s="29" t="n"/>
      <c r="P331" s="29" t="n"/>
      <c r="Q331" s="10" t="n"/>
      <c r="R331" s="30">
        <f>IF(OR(L331="",L331="N/A"),"",IF(L331="Tidak Ada",0,IF(P331="","",IF(P331="Tidak Sesuai",0,IF(AND(N331="Ya",O331="Ya",P331="Sesuai"),1,0.5)))))</f>
        <v/>
      </c>
      <c r="S331" s="30">
        <f>IF(L331="N/A","N/A",IF(R331="","Belum dinilai",IF(R331=1,"Memenuhi",IF(R331=0,"Tidak Memenuhi","Memenuhi Sebagian"))))</f>
        <v/>
      </c>
      <c r="T331" s="31" t="inlineStr">
        <is>
          <t>2.1-3</t>
        </is>
      </c>
      <c r="U331" s="77" t="n"/>
    </row>
    <row r="332" ht="27" customHeight="1">
      <c r="A332" s="77" t="n"/>
      <c r="B332" s="77" t="n"/>
      <c r="C332" s="77" t="n"/>
      <c r="D332" s="77" t="n"/>
      <c r="E332" s="32" t="inlineStr">
        <is>
          <t>B</t>
        </is>
      </c>
      <c r="F332" s="77" t="n"/>
      <c r="G332" s="77" t="n"/>
      <c r="H332" s="77" t="n"/>
      <c r="I332" s="28" t="n">
        <v>3</v>
      </c>
      <c r="J332" s="62" t="inlineStr">
        <is>
          <t>Renja/Perjanjian Kinerja yang mempertimbangkan risiko</t>
        </is>
      </c>
      <c r="K332" s="78" t="inlineStr"/>
      <c r="L332" s="29" t="n"/>
      <c r="M332" s="10" t="n"/>
      <c r="N332" s="29" t="n"/>
      <c r="O332" s="29" t="n"/>
      <c r="P332" s="29" t="n"/>
      <c r="Q332" s="10" t="n"/>
      <c r="R332" s="30">
        <f>IF(OR(L332="",L332="N/A"),"",IF(L332="Tidak Ada",0,IF(P332="","",IF(P332="Tidak Sesuai",0,IF(AND(N332="Ya",O332="Ya",P332="Sesuai"),1,0.5)))))</f>
        <v/>
      </c>
      <c r="S332" s="30">
        <f>IF(L332="N/A","N/A",IF(R332="","Belum dinilai",IF(R332=1,"Memenuhi",IF(R332=0,"Tidak Memenuhi","Memenuhi Sebagian"))))</f>
        <v/>
      </c>
      <c r="T332" s="31" t="inlineStr">
        <is>
          <t>2.1-3</t>
        </is>
      </c>
      <c r="U332" s="77" t="n"/>
    </row>
    <row r="333" ht="27" customHeight="1">
      <c r="A333" s="77" t="n"/>
      <c r="B333" s="77" t="n"/>
      <c r="C333" s="77" t="n"/>
      <c r="D333" s="77" t="n"/>
      <c r="E333" s="32" t="inlineStr">
        <is>
          <t>B</t>
        </is>
      </c>
      <c r="F333" s="77" t="n"/>
      <c r="G333" s="77" t="n"/>
      <c r="H333" s="77" t="n"/>
      <c r="I333" s="28" t="n">
        <v>4</v>
      </c>
      <c r="J333" s="62" t="inlineStr">
        <is>
          <t>RTP</t>
        </is>
      </c>
      <c r="K333" s="78" t="inlineStr"/>
      <c r="L333" s="29" t="n"/>
      <c r="M333" s="10" t="n"/>
      <c r="N333" s="29" t="n"/>
      <c r="O333" s="29" t="n"/>
      <c r="P333" s="29" t="n"/>
      <c r="Q333" s="10" t="n"/>
      <c r="R333" s="30">
        <f>IF(OR(L333="",L333="N/A"),"",IF(L333="Tidak Ada",0,IF(P333="","",IF(P333="Tidak Sesuai",0,IF(AND(N333="Ya",O333="Ya",P333="Sesuai"),1,0.5)))))</f>
        <v/>
      </c>
      <c r="S333" s="30">
        <f>IF(L333="N/A","N/A",IF(R333="","Belum dinilai",IF(R333=1,"Memenuhi",IF(R333=0,"Tidak Memenuhi","Memenuhi Sebagian"))))</f>
        <v/>
      </c>
      <c r="T333" s="31" t="inlineStr">
        <is>
          <t>2.1-3</t>
        </is>
      </c>
      <c r="U333" s="77" t="n"/>
    </row>
    <row r="334" ht="39" customHeight="1">
      <c r="A334" s="77" t="n"/>
      <c r="B334" s="77" t="n"/>
      <c r="C334" s="77" t="n"/>
      <c r="D334" s="77" t="n"/>
      <c r="E334" s="32" t="inlineStr">
        <is>
          <t>B</t>
        </is>
      </c>
      <c r="F334" s="79" t="n"/>
      <c r="G334" s="79" t="n"/>
      <c r="H334" s="79" t="n"/>
      <c r="I334" s="28" t="n">
        <v>5</v>
      </c>
      <c r="J334" s="62" t="inlineStr">
        <is>
          <t>Notulen Rapat Pimpinan yang Memuat Pembahasan dan Tindak Lanjut Hasil Manajemen Risiko</t>
        </is>
      </c>
      <c r="K334" s="78" t="inlineStr"/>
      <c r="L334" s="29" t="n"/>
      <c r="M334" s="10" t="n"/>
      <c r="N334" s="29" t="n"/>
      <c r="O334" s="29" t="n"/>
      <c r="P334" s="29" t="n"/>
      <c r="Q334" s="10" t="n"/>
      <c r="R334" s="30">
        <f>IF(OR(L334="",L334="N/A"),"",IF(L334="Tidak Ada",0,IF(P334="","",IF(P334="Tidak Sesuai",0,IF(AND(N334="Ya",O334="Ya",P334="Sesuai"),1,0.5)))))</f>
        <v/>
      </c>
      <c r="S334" s="30">
        <f>IF(L334="N/A","N/A",IF(R334="","Belum dinilai",IF(R334=1,"Memenuhi",IF(R334=0,"Tidak Memenuhi","Memenuhi Sebagian"))))</f>
        <v/>
      </c>
      <c r="T334" s="31" t="inlineStr">
        <is>
          <t>2.1-3</t>
        </is>
      </c>
      <c r="U334" s="79" t="n"/>
    </row>
    <row r="335" ht="27" customHeight="1">
      <c r="A335" s="77" t="n"/>
      <c r="B335" s="77" t="n"/>
      <c r="C335" s="77" t="n"/>
      <c r="D335" s="77" t="n"/>
      <c r="E335" s="33" t="inlineStr">
        <is>
          <t>C</t>
        </is>
      </c>
      <c r="F335" s="62" t="inlineStr">
        <is>
          <t>C – Implementasi</t>
        </is>
      </c>
      <c r="G335" s="62" t="inlineStr">
        <is>
          <t>Proses manajemen risiko telah diterapkan secara konsisten, terintegrasi dengan proses bisnis dan proses perencanaan tingkat operasional unit kerja dan strategis unit kerja</t>
        </is>
      </c>
      <c r="H335" s="62" t="inlineStr">
        <is>
          <t>Proses manajemen risiko telah diterapkan secara konsisten, terintegrasi dengan proses bisnis dan proses perencanaan tingkat operasional unit kerja dan strategis unit kerja</t>
        </is>
      </c>
      <c r="I335" s="28" t="n">
        <v>1</v>
      </c>
      <c r="J335" s="62" t="inlineStr">
        <is>
          <t>Risk Register Unit Kerja</t>
        </is>
      </c>
      <c r="K335" s="78" t="inlineStr"/>
      <c r="L335" s="29" t="n"/>
      <c r="M335" s="10" t="n"/>
      <c r="N335" s="29" t="n"/>
      <c r="O335" s="29" t="n"/>
      <c r="P335" s="29" t="n"/>
      <c r="Q335" s="10" t="n"/>
      <c r="R335" s="30">
        <f>IF(OR(L335="",L335="N/A"),"",IF(L335="Tidak Ada",0,IF(P335="","",IF(P335="Tidak Sesuai",0,IF(AND(N335="Ya",O335="Ya",P335="Sesuai"),1,0.5)))))</f>
        <v/>
      </c>
      <c r="S335" s="30">
        <f>IF(L335="N/A","N/A",IF(R335="","Belum dinilai",IF(R335=1,"Memenuhi",IF(R335=0,"Tidak Memenuhi","Memenuhi Sebagian"))))</f>
        <v/>
      </c>
      <c r="T335" s="31" t="inlineStr">
        <is>
          <t>2.1-3</t>
        </is>
      </c>
      <c r="U335" s="63">
        <f>IF(COUNT(R335:R339)=0,"",SUM(R335:R339)/COUNT(R335:R339))</f>
        <v/>
      </c>
    </row>
    <row r="336" ht="39" customHeight="1">
      <c r="A336" s="77" t="n"/>
      <c r="B336" s="77" t="n"/>
      <c r="C336" s="77" t="n"/>
      <c r="D336" s="77" t="n"/>
      <c r="E336" s="33" t="inlineStr">
        <is>
          <t>C</t>
        </is>
      </c>
      <c r="F336" s="77" t="n"/>
      <c r="G336" s="77" t="n"/>
      <c r="H336" s="77" t="n"/>
      <c r="I336" s="28" t="n">
        <v>2</v>
      </c>
      <c r="J336" s="62" t="inlineStr">
        <is>
          <t>Renstra/Perjanjian Kinerja/Renja Unit Kerja yang mempertimbangkan risiko</t>
        </is>
      </c>
      <c r="K336" s="78" t="inlineStr"/>
      <c r="L336" s="29" t="inlineStr">
        <is>
          <t>Ada</t>
        </is>
      </c>
      <c r="M336" s="66" t="inlineStr">
        <is>
          <t>Renstra 2025-2029</t>
        </is>
      </c>
      <c r="N336" s="29" t="inlineStr">
        <is>
          <t>Ya</t>
        </is>
      </c>
      <c r="O336" s="29" t="inlineStr">
        <is>
          <t>Ya</t>
        </is>
      </c>
      <c r="P336" s="29" t="inlineStr">
        <is>
          <t>Sesuai</t>
        </is>
      </c>
      <c r="Q336" s="10" t="n"/>
      <c r="R336" s="30">
        <f>IF(OR(L336="",L336="N/A"),"",IF(L336="Tidak Ada",0,IF(P336="","",IF(P336="Tidak Sesuai",0,IF(AND(N336="Ya",O336="Ya",P336="Sesuai"),1,0.5)))))</f>
        <v/>
      </c>
      <c r="S336" s="30">
        <f>IF(L336="N/A","N/A",IF(R336="","Belum dinilai",IF(R336=1,"Memenuhi",IF(R336=0,"Tidak Memenuhi","Memenuhi Sebagian"))))</f>
        <v/>
      </c>
      <c r="T336" s="31" t="inlineStr">
        <is>
          <t>2.1-3</t>
        </is>
      </c>
      <c r="U336" s="77" t="n"/>
    </row>
    <row r="337" ht="27" customHeight="1">
      <c r="A337" s="77" t="n"/>
      <c r="B337" s="77" t="n"/>
      <c r="C337" s="77" t="n"/>
      <c r="D337" s="77" t="n"/>
      <c r="E337" s="33" t="inlineStr">
        <is>
          <t>C</t>
        </is>
      </c>
      <c r="F337" s="77" t="n"/>
      <c r="G337" s="77" t="n"/>
      <c r="H337" s="77" t="n"/>
      <c r="I337" s="28" t="n">
        <v>3</v>
      </c>
      <c r="J337" s="62" t="inlineStr">
        <is>
          <t>RTP</t>
        </is>
      </c>
      <c r="K337" s="78" t="inlineStr"/>
      <c r="L337" s="29" t="inlineStr">
        <is>
          <t>Ada</t>
        </is>
      </c>
      <c r="M337" s="66" t="inlineStr">
        <is>
          <t>RTP Tahun 2026</t>
        </is>
      </c>
      <c r="N337" s="29" t="inlineStr">
        <is>
          <t>Ya</t>
        </is>
      </c>
      <c r="O337" s="29" t="inlineStr">
        <is>
          <t>Ya</t>
        </is>
      </c>
      <c r="P337" s="29" t="inlineStr">
        <is>
          <t>Sesuai</t>
        </is>
      </c>
      <c r="Q337" s="10" t="n"/>
      <c r="R337" s="30">
        <f>IF(OR(L337="",L337="N/A"),"",IF(L337="Tidak Ada",0,IF(P337="","",IF(P337="Tidak Sesuai",0,IF(AND(N337="Ya",O337="Ya",P337="Sesuai"),1,0.5)))))</f>
        <v/>
      </c>
      <c r="S337" s="30">
        <f>IF(L337="N/A","N/A",IF(R337="","Belum dinilai",IF(R337=1,"Memenuhi",IF(R337=0,"Tidak Memenuhi","Memenuhi Sebagian"))))</f>
        <v/>
      </c>
      <c r="T337" s="31" t="inlineStr">
        <is>
          <t>2.1-3</t>
        </is>
      </c>
      <c r="U337" s="77" t="n"/>
    </row>
    <row r="338" ht="27" customHeight="1">
      <c r="A338" s="77" t="n"/>
      <c r="B338" s="77" t="n"/>
      <c r="C338" s="77" t="n"/>
      <c r="D338" s="77" t="n"/>
      <c r="E338" s="33" t="inlineStr">
        <is>
          <t>C</t>
        </is>
      </c>
      <c r="F338" s="77" t="n"/>
      <c r="G338" s="77" t="n"/>
      <c r="H338" s="77" t="n"/>
      <c r="I338" s="28" t="n">
        <v>4</v>
      </c>
      <c r="J338" s="62" t="inlineStr">
        <is>
          <t>KAK Kegiatan yang Mempertimbangkan Hasil Manajemen Risiko</t>
        </is>
      </c>
      <c r="K338" s="78" t="inlineStr"/>
      <c r="L338" s="29" t="n"/>
      <c r="M338" s="10" t="n"/>
      <c r="N338" s="29" t="n"/>
      <c r="O338" s="29" t="n"/>
      <c r="P338" s="29" t="n"/>
      <c r="Q338" s="10" t="n"/>
      <c r="R338" s="30">
        <f>IF(OR(L338="",L338="N/A"),"",IF(L338="Tidak Ada",0,IF(P338="","",IF(P338="Tidak Sesuai",0,IF(AND(N338="Ya",O338="Ya",P338="Sesuai"),1,0.5)))))</f>
        <v/>
      </c>
      <c r="S338" s="30">
        <f>IF(L338="N/A","N/A",IF(R338="","Belum dinilai",IF(R338=1,"Memenuhi",IF(R338=0,"Tidak Memenuhi","Memenuhi Sebagian"))))</f>
        <v/>
      </c>
      <c r="T338" s="31" t="inlineStr">
        <is>
          <t>2.1-3</t>
        </is>
      </c>
      <c r="U338" s="77" t="n"/>
    </row>
    <row r="339" ht="27" customHeight="1">
      <c r="A339" s="77" t="n"/>
      <c r="B339" s="77" t="n"/>
      <c r="C339" s="77" t="n"/>
      <c r="D339" s="77" t="n"/>
      <c r="E339" s="33" t="inlineStr">
        <is>
          <t>C</t>
        </is>
      </c>
      <c r="F339" s="79" t="n"/>
      <c r="G339" s="79" t="n"/>
      <c r="H339" s="79" t="n"/>
      <c r="I339" s="28" t="n">
        <v>5</v>
      </c>
      <c r="J339" s="62" t="inlineStr">
        <is>
          <t>SOP/Proses Bisnis yang mempertimbangkan risiko</t>
        </is>
      </c>
      <c r="K339" s="78" t="inlineStr"/>
      <c r="L339" s="29" t="n"/>
      <c r="M339" s="10" t="n"/>
      <c r="N339" s="29" t="n"/>
      <c r="O339" s="29" t="n"/>
      <c r="P339" s="29" t="n"/>
      <c r="Q339" s="10" t="n"/>
      <c r="R339" s="30">
        <f>IF(OR(L339="",L339="N/A"),"",IF(L339="Tidak Ada",0,IF(P339="","",IF(P339="Tidak Sesuai",0,IF(AND(N339="Ya",O339="Ya",P339="Sesuai"),1,0.5)))))</f>
        <v/>
      </c>
      <c r="S339" s="30">
        <f>IF(L339="N/A","N/A",IF(R339="","Belum dinilai",IF(R339=1,"Memenuhi",IF(R339=0,"Tidak Memenuhi","Memenuhi Sebagian"))))</f>
        <v/>
      </c>
      <c r="T339" s="31" t="inlineStr">
        <is>
          <t>2.1-3</t>
        </is>
      </c>
      <c r="U339" s="79" t="n"/>
    </row>
    <row r="340" ht="27" customHeight="1">
      <c r="A340" s="77" t="n"/>
      <c r="B340" s="77" t="n"/>
      <c r="C340" s="77" t="n"/>
      <c r="D340" s="77" t="n"/>
      <c r="E340" s="34" t="inlineStr">
        <is>
          <t>D</t>
        </is>
      </c>
      <c r="F340" s="62" t="inlineStr">
        <is>
          <t>D – Komunikasi &amp; Pemahaman</t>
        </is>
      </c>
      <c r="G340" s="62" t="inlineStr">
        <is>
          <t>Proses manajemen risiko telah terintegrasi dengan dengan proses bisnis dan proses perencanaan tingkat operasional unit kerja serta telah diterapkan secara konsisten</t>
        </is>
      </c>
      <c r="H340" s="62" t="inlineStr">
        <is>
          <t>Proses manajemen risiko telah terintegrasi dengan dengan proses bisnis dan proses perencanaan tingkat operasional unit kerja serta telah diterapkan secara konsisten</t>
        </is>
      </c>
      <c r="I340" s="28" t="n">
        <v>1</v>
      </c>
      <c r="J340" s="62" t="inlineStr">
        <is>
          <t>Risk Register Unit Kerja</t>
        </is>
      </c>
      <c r="K340" s="78" t="inlineStr"/>
      <c r="L340" s="29" t="n"/>
      <c r="M340" s="10" t="n"/>
      <c r="N340" s="29" t="n"/>
      <c r="O340" s="29" t="n"/>
      <c r="P340" s="29" t="n"/>
      <c r="Q340" s="10" t="n"/>
      <c r="R340" s="30">
        <f>IF(OR(L340="",L340="N/A"),"",IF(L340="Tidak Ada",0,IF(P340="","",IF(P340="Tidak Sesuai",0,IF(AND(N340="Ya",O340="Ya",P340="Sesuai"),1,0.5)))))</f>
        <v/>
      </c>
      <c r="S340" s="30">
        <f>IF(L340="N/A","N/A",IF(R340="","Belum dinilai",IF(R340=1,"Memenuhi",IF(R340=0,"Tidak Memenuhi","Memenuhi Sebagian"))))</f>
        <v/>
      </c>
      <c r="T340" s="31" t="inlineStr">
        <is>
          <t>2.1-3</t>
        </is>
      </c>
      <c r="U340" s="63">
        <f>IF(COUNT(R340:R343)=0,"",SUM(R340:R343)/COUNT(R340:R343))</f>
        <v/>
      </c>
    </row>
    <row r="341" ht="27" customHeight="1">
      <c r="A341" s="77" t="n"/>
      <c r="B341" s="77" t="n"/>
      <c r="C341" s="77" t="n"/>
      <c r="D341" s="77" t="n"/>
      <c r="E341" s="34" t="inlineStr">
        <is>
          <t>D</t>
        </is>
      </c>
      <c r="F341" s="77" t="n"/>
      <c r="G341" s="77" t="n"/>
      <c r="H341" s="77" t="n"/>
      <c r="I341" s="28" t="n">
        <v>2</v>
      </c>
      <c r="J341" s="62" t="inlineStr">
        <is>
          <t>RTP</t>
        </is>
      </c>
      <c r="K341" s="78" t="inlineStr"/>
      <c r="L341" s="29" t="n"/>
      <c r="M341" s="10" t="n"/>
      <c r="N341" s="29" t="n"/>
      <c r="O341" s="29" t="n"/>
      <c r="P341" s="29" t="n"/>
      <c r="Q341" s="10" t="n"/>
      <c r="R341" s="30">
        <f>IF(OR(L341="",L341="N/A"),"",IF(L341="Tidak Ada",0,IF(P341="","",IF(P341="Tidak Sesuai",0,IF(AND(N341="Ya",O341="Ya",P341="Sesuai"),1,0.5)))))</f>
        <v/>
      </c>
      <c r="S341" s="30">
        <f>IF(L341="N/A","N/A",IF(R341="","Belum dinilai",IF(R341=1,"Memenuhi",IF(R341=0,"Tidak Memenuhi","Memenuhi Sebagian"))))</f>
        <v/>
      </c>
      <c r="T341" s="31" t="inlineStr">
        <is>
          <t>2.1-3</t>
        </is>
      </c>
      <c r="U341" s="77" t="n"/>
    </row>
    <row r="342" ht="27" customHeight="1">
      <c r="A342" s="77" t="n"/>
      <c r="B342" s="77" t="n"/>
      <c r="C342" s="77" t="n"/>
      <c r="D342" s="77" t="n"/>
      <c r="E342" s="34" t="inlineStr">
        <is>
          <t>D</t>
        </is>
      </c>
      <c r="F342" s="77" t="n"/>
      <c r="G342" s="77" t="n"/>
      <c r="H342" s="77" t="n"/>
      <c r="I342" s="28" t="n">
        <v>3</v>
      </c>
      <c r="J342" s="62" t="inlineStr">
        <is>
          <t>SOP/Proses Bisnis Unit Kerja yang telah mempertimbangkan risiko</t>
        </is>
      </c>
      <c r="K342" s="78" t="inlineStr"/>
      <c r="L342" s="29" t="n"/>
      <c r="M342" s="10" t="n"/>
      <c r="N342" s="29" t="n"/>
      <c r="O342" s="29" t="n"/>
      <c r="P342" s="29" t="n"/>
      <c r="Q342" s="10" t="n"/>
      <c r="R342" s="30">
        <f>IF(OR(L342="",L342="N/A"),"",IF(L342="Tidak Ada",0,IF(P342="","",IF(P342="Tidak Sesuai",0,IF(AND(N342="Ya",O342="Ya",P342="Sesuai"),1,0.5)))))</f>
        <v/>
      </c>
      <c r="S342" s="30">
        <f>IF(L342="N/A","N/A",IF(R342="","Belum dinilai",IF(R342=1,"Memenuhi",IF(R342=0,"Tidak Memenuhi","Memenuhi Sebagian"))))</f>
        <v/>
      </c>
      <c r="T342" s="31" t="inlineStr">
        <is>
          <t>2.1-3</t>
        </is>
      </c>
      <c r="U342" s="77" t="n"/>
    </row>
    <row r="343" ht="27" customHeight="1">
      <c r="A343" s="77" t="n"/>
      <c r="B343" s="77" t="n"/>
      <c r="C343" s="77" t="n"/>
      <c r="D343" s="77" t="n"/>
      <c r="E343" s="34" t="inlineStr">
        <is>
          <t>D</t>
        </is>
      </c>
      <c r="F343" s="79" t="n"/>
      <c r="G343" s="79" t="n"/>
      <c r="H343" s="79" t="n"/>
      <c r="I343" s="28" t="n">
        <v>4</v>
      </c>
      <c r="J343" s="62" t="inlineStr">
        <is>
          <t>Renja/RKA/DPA/Rencana Aksi</t>
        </is>
      </c>
      <c r="K343" s="78" t="inlineStr"/>
      <c r="L343" s="29" t="n"/>
      <c r="M343" s="10" t="n"/>
      <c r="N343" s="29" t="n"/>
      <c r="O343" s="29" t="n"/>
      <c r="P343" s="29" t="n"/>
      <c r="Q343" s="10" t="n"/>
      <c r="R343" s="30">
        <f>IF(OR(L343="",L343="N/A"),"",IF(L343="Tidak Ada",0,IF(P343="","",IF(P343="Tidak Sesuai",0,IF(AND(N343="Ya",O343="Ya",P343="Sesuai"),1,0.5)))))</f>
        <v/>
      </c>
      <c r="S343" s="30">
        <f>IF(L343="N/A","N/A",IF(R343="","Belum dinilai",IF(R343=1,"Memenuhi",IF(R343=0,"Tidak Memenuhi","Memenuhi Sebagian"))))</f>
        <v/>
      </c>
      <c r="T343" s="31" t="inlineStr">
        <is>
          <t>2.1-3</t>
        </is>
      </c>
      <c r="U343" s="79" t="n"/>
    </row>
    <row r="344" ht="39" customHeight="1">
      <c r="A344" s="77" t="n"/>
      <c r="B344" s="77" t="n"/>
      <c r="C344" s="77" t="n"/>
      <c r="D344" s="77" t="n"/>
      <c r="E344" s="35" t="inlineStr">
        <is>
          <t>E</t>
        </is>
      </c>
      <c r="F344" s="62" t="inlineStr">
        <is>
          <t>E – Kebijakan/Formalitas</t>
        </is>
      </c>
      <c r="G344" s="62" t="inlineStr">
        <is>
          <t>Proses manajemen risiko mulai dihubungkan dengan dengan proses bisnis dan proses perencanaan tingkat operasional unit kerja namun belum diterapkan secara konsisten</t>
        </is>
      </c>
      <c r="H344" s="62" t="inlineStr">
        <is>
          <t>Organisasi telah memiliki/menetapkan proses manajemen risiko mulai dihubungkan dengan dengan proses bisnis dan proses perencanaan tingkat operasional unit kerja namun belum diterapkan secara konsisten</t>
        </is>
      </c>
      <c r="I344" s="28" t="n">
        <v>1</v>
      </c>
      <c r="J344" s="62" t="inlineStr">
        <is>
          <t>Risk Register Unit Kerja</t>
        </is>
      </c>
      <c r="K344" s="78" t="inlineStr"/>
      <c r="L344" s="29" t="n"/>
      <c r="M344" s="10" t="n"/>
      <c r="N344" s="29" t="n"/>
      <c r="O344" s="29" t="n"/>
      <c r="P344" s="29" t="n"/>
      <c r="Q344" s="10" t="n"/>
      <c r="R344" s="30">
        <f>IF(OR(L344="",L344="N/A"),"",IF(L344="Tidak Ada",0,IF(P344="","",IF(P344="Tidak Sesuai",0,IF(AND(N344="Ya",O344="Ya",P344="Sesuai"),1,0.5)))))</f>
        <v/>
      </c>
      <c r="S344" s="30">
        <f>IF(L344="N/A","N/A",IF(R344="","Belum dinilai",IF(R344=1,"Memenuhi",IF(R344=0,"Tidak Memenuhi","Memenuhi Sebagian"))))</f>
        <v/>
      </c>
      <c r="T344" s="31" t="inlineStr">
        <is>
          <t>2.1-3</t>
        </is>
      </c>
      <c r="U344" s="63">
        <f>IF(COUNT(R344:R346)=0,"",SUM(R344:R346)/COUNT(R344:R346))</f>
        <v/>
      </c>
    </row>
    <row r="345" ht="39" customHeight="1">
      <c r="A345" s="77" t="n"/>
      <c r="B345" s="77" t="n"/>
      <c r="C345" s="77" t="n"/>
      <c r="D345" s="77" t="n"/>
      <c r="E345" s="35" t="inlineStr">
        <is>
          <t>E</t>
        </is>
      </c>
      <c r="F345" s="77" t="n"/>
      <c r="G345" s="77" t="n"/>
      <c r="H345" s="77" t="n"/>
      <c r="I345" s="28" t="n">
        <v>2</v>
      </c>
      <c r="J345" s="62" t="inlineStr">
        <is>
          <t>Renja/RKA/DPA/Rencana Aksi</t>
        </is>
      </c>
      <c r="K345" s="78" t="inlineStr"/>
      <c r="L345" s="29" t="n"/>
      <c r="M345" s="10" t="n"/>
      <c r="N345" s="29" t="n"/>
      <c r="O345" s="29" t="n"/>
      <c r="P345" s="29" t="n"/>
      <c r="Q345" s="10" t="n"/>
      <c r="R345" s="30">
        <f>IF(OR(L345="",L345="N/A"),"",IF(L345="Tidak Ada",0,IF(P345="","",IF(P345="Tidak Sesuai",0,IF(AND(N345="Ya",O345="Ya",P345="Sesuai"),1,0.5)))))</f>
        <v/>
      </c>
      <c r="S345" s="30">
        <f>IF(L345="N/A","N/A",IF(R345="","Belum dinilai",IF(R345=1,"Memenuhi",IF(R345=0,"Tidak Memenuhi","Memenuhi Sebagian"))))</f>
        <v/>
      </c>
      <c r="T345" s="31" t="inlineStr">
        <is>
          <t>2.1-3</t>
        </is>
      </c>
      <c r="U345" s="77" t="n"/>
    </row>
    <row r="346" ht="39" customHeight="1">
      <c r="A346" s="79" t="n"/>
      <c r="B346" s="79" t="n"/>
      <c r="C346" s="79" t="n"/>
      <c r="D346" s="79" t="n"/>
      <c r="E346" s="35" t="inlineStr">
        <is>
          <t>E</t>
        </is>
      </c>
      <c r="F346" s="79" t="n"/>
      <c r="G346" s="79" t="n"/>
      <c r="H346" s="79" t="n"/>
      <c r="I346" s="28" t="n">
        <v>3</v>
      </c>
      <c r="J346" s="62" t="inlineStr">
        <is>
          <t>Rencana Tindak Pengendalian (RTP)</t>
        </is>
      </c>
      <c r="K346" s="78" t="inlineStr"/>
      <c r="L346" s="29" t="n"/>
      <c r="M346" s="10" t="n"/>
      <c r="N346" s="29" t="n"/>
      <c r="O346" s="29" t="n"/>
      <c r="P346" s="29" t="n"/>
      <c r="Q346" s="10" t="n"/>
      <c r="R346" s="30">
        <f>IF(OR(L346="",L346="N/A"),"",IF(L346="Tidak Ada",0,IF(P346="","",IF(P346="Tidak Sesuai",0,IF(AND(N346="Ya",O346="Ya",P346="Sesuai"),1,0.5)))))</f>
        <v/>
      </c>
      <c r="S346" s="30">
        <f>IF(L346="N/A","N/A",IF(R346="","Belum dinilai",IF(R346=1,"Memenuhi",IF(R346=0,"Tidak Memenuhi","Memenuhi Sebagian"))))</f>
        <v/>
      </c>
      <c r="T346" s="31" t="inlineStr">
        <is>
          <t>2.1-3</t>
        </is>
      </c>
      <c r="U346" s="79" t="n"/>
    </row>
    <row r="347" ht="27" customHeight="1">
      <c r="A347" s="56" t="inlineStr">
        <is>
          <t>2.2</t>
        </is>
      </c>
      <c r="B347" s="57" t="inlineStr">
        <is>
          <t>Analisis Risiko</t>
        </is>
      </c>
      <c r="C347" s="58" t="n">
        <v>1</v>
      </c>
      <c r="D347" s="59" t="inlineStr">
        <is>
          <t>Seluruh risiko telah dianalisis dampak dan tingkat keterjadiannya</t>
        </is>
      </c>
      <c r="E347" s="21" t="inlineStr">
        <is>
          <t>A</t>
        </is>
      </c>
      <c r="F347" s="60" t="inlineStr">
        <is>
          <t>A – Perbaikan Berkelanjutan</t>
        </is>
      </c>
      <c r="G347" s="60" t="inlineStr">
        <is>
          <t>Analisis risiko telah dilakukan secara memadai terhadap risiko operasional unit kerja, risiko strategis unit kerja, dan risiko strategis K/L/D</t>
        </is>
      </c>
      <c r="H347" s="60" t="inlineStr">
        <is>
          <t>Analisis risiko telah dilakukan secara memadai terhadap risiko operasional unit kerja, risiko strategis unit kerja, dan risiko strategis K/L/D</t>
        </is>
      </c>
      <c r="I347" s="22" t="n">
        <v>1</v>
      </c>
      <c r="J347" s="60" t="inlineStr">
        <is>
          <t>Laporan Hasil Analisis Risiko</t>
        </is>
      </c>
      <c r="K347" s="76" t="inlineStr"/>
      <c r="L347" s="23" t="n"/>
      <c r="M347" s="24" t="n"/>
      <c r="N347" s="23" t="n"/>
      <c r="O347" s="23" t="n"/>
      <c r="P347" s="23" t="n"/>
      <c r="Q347" s="24" t="n"/>
      <c r="R347" s="25">
        <f>IF(OR(L347="",L347="N/A"),"",IF(L347="Tidak Ada",0,IF(P347="","",IF(P347="Tidak Sesuai",0,IF(AND(N347="Ya",O347="Ya",P347="Sesuai"),1,0.5)))))</f>
        <v/>
      </c>
      <c r="S347" s="25">
        <f>IF(L347="N/A","N/A",IF(R347="","Belum dinilai",IF(R347=1,"Memenuhi",IF(R347=0,"Tidak Memenuhi","Memenuhi Sebagian"))))</f>
        <v/>
      </c>
      <c r="T347" s="26" t="inlineStr">
        <is>
          <t>2.2-1</t>
        </is>
      </c>
      <c r="U347" s="61">
        <f>IF(COUNT(R347:R349)=0,"",SUM(R347:R349)/COUNT(R347:R349))</f>
        <v/>
      </c>
    </row>
    <row r="348" ht="27" customHeight="1">
      <c r="A348" s="77" t="n"/>
      <c r="B348" s="77" t="n"/>
      <c r="C348" s="77" t="n"/>
      <c r="D348" s="77" t="n"/>
      <c r="E348" s="27" t="inlineStr">
        <is>
          <t>A</t>
        </is>
      </c>
      <c r="F348" s="77" t="n"/>
      <c r="G348" s="77" t="n"/>
      <c r="H348" s="77" t="n"/>
      <c r="I348" s="28" t="n">
        <v>2</v>
      </c>
      <c r="J348" s="62" t="inlineStr">
        <is>
          <t>Matriks Analisis Risiko</t>
        </is>
      </c>
      <c r="K348" s="78" t="inlineStr"/>
      <c r="L348" s="29" t="n"/>
      <c r="M348" s="10" t="n"/>
      <c r="N348" s="29" t="n"/>
      <c r="O348" s="29" t="n"/>
      <c r="P348" s="29" t="n"/>
      <c r="Q348" s="10" t="n"/>
      <c r="R348" s="30">
        <f>IF(OR(L348="",L348="N/A"),"",IF(L348="Tidak Ada",0,IF(P348="","",IF(P348="Tidak Sesuai",0,IF(AND(N348="Ya",O348="Ya",P348="Sesuai"),1,0.5)))))</f>
        <v/>
      </c>
      <c r="S348" s="30">
        <f>IF(L348="N/A","N/A",IF(R348="","Belum dinilai",IF(R348=1,"Memenuhi",IF(R348=0,"Tidak Memenuhi","Memenuhi Sebagian"))))</f>
        <v/>
      </c>
      <c r="T348" s="31" t="inlineStr">
        <is>
          <t>2.2-1</t>
        </is>
      </c>
      <c r="U348" s="77" t="n"/>
    </row>
    <row r="349" ht="27" customHeight="1">
      <c r="A349" s="77" t="n"/>
      <c r="B349" s="77" t="n"/>
      <c r="C349" s="77" t="n"/>
      <c r="D349" s="77" t="n"/>
      <c r="E349" s="27" t="inlineStr">
        <is>
          <t>A</t>
        </is>
      </c>
      <c r="F349" s="79" t="n"/>
      <c r="G349" s="79" t="n"/>
      <c r="H349" s="79" t="n"/>
      <c r="I349" s="28" t="n">
        <v>3</v>
      </c>
      <c r="J349" s="62" t="inlineStr">
        <is>
          <t>Rekapitulasi Tren Risiko</t>
        </is>
      </c>
      <c r="K349" s="78" t="inlineStr"/>
      <c r="L349" s="29" t="n"/>
      <c r="M349" s="10" t="n"/>
      <c r="N349" s="29" t="n"/>
      <c r="O349" s="29" t="n"/>
      <c r="P349" s="29" t="n"/>
      <c r="Q349" s="10" t="n"/>
      <c r="R349" s="30">
        <f>IF(OR(L349="",L349="N/A"),"",IF(L349="Tidak Ada",0,IF(P349="","",IF(P349="Tidak Sesuai",0,IF(AND(N349="Ya",O349="Ya",P349="Sesuai"),1,0.5)))))</f>
        <v/>
      </c>
      <c r="S349" s="30">
        <f>IF(L349="N/A","N/A",IF(R349="","Belum dinilai",IF(R349=1,"Memenuhi",IF(R349=0,"Tidak Memenuhi","Memenuhi Sebagian"))))</f>
        <v/>
      </c>
      <c r="T349" s="31" t="inlineStr">
        <is>
          <t>2.2-1</t>
        </is>
      </c>
      <c r="U349" s="79" t="n"/>
    </row>
    <row r="350" ht="27" customHeight="1">
      <c r="A350" s="77" t="n"/>
      <c r="B350" s="77" t="n"/>
      <c r="C350" s="77" t="n"/>
      <c r="D350" s="77" t="n"/>
      <c r="E350" s="32" t="inlineStr">
        <is>
          <t>B</t>
        </is>
      </c>
      <c r="F350" s="62" t="inlineStr">
        <is>
          <t>B – Evaluasi &amp; Tindak Lanjut</t>
        </is>
      </c>
      <c r="G350" s="62" t="inlineStr">
        <is>
          <t>Analisis risiko telah dilakukan secara memadai terhadap risiko operasional unit kerja dan risiko strategis unit kerja</t>
        </is>
      </c>
      <c r="H350" s="62" t="inlineStr">
        <is>
          <t>Analisis risiko telah dilakukan secara memadai terhadap risiko operasional unit kerja dan risiko strategis unit kerja</t>
        </is>
      </c>
      <c r="I350" s="28" t="n">
        <v>1</v>
      </c>
      <c r="J350" s="62" t="inlineStr">
        <is>
          <t>Laporan Hasil Analisis Risiko</t>
        </is>
      </c>
      <c r="K350" s="78" t="inlineStr"/>
      <c r="L350" s="29" t="n"/>
      <c r="M350" s="10" t="n"/>
      <c r="N350" s="29" t="n"/>
      <c r="O350" s="29" t="n"/>
      <c r="P350" s="29" t="n"/>
      <c r="Q350" s="10" t="n"/>
      <c r="R350" s="30">
        <f>IF(OR(L350="",L350="N/A"),"",IF(L350="Tidak Ada",0,IF(P350="","",IF(P350="Tidak Sesuai",0,IF(AND(N350="Ya",O350="Ya",P350="Sesuai"),1,0.5)))))</f>
        <v/>
      </c>
      <c r="S350" s="30">
        <f>IF(L350="N/A","N/A",IF(R350="","Belum dinilai",IF(R350=1,"Memenuhi",IF(R350=0,"Tidak Memenuhi","Memenuhi Sebagian"))))</f>
        <v/>
      </c>
      <c r="T350" s="31" t="inlineStr">
        <is>
          <t>2.2-1</t>
        </is>
      </c>
      <c r="U350" s="63">
        <f>IF(COUNT(R350:R352)=0,"",SUM(R350:R352)/COUNT(R350:R352))</f>
        <v/>
      </c>
    </row>
    <row r="351" ht="27" customHeight="1">
      <c r="A351" s="77" t="n"/>
      <c r="B351" s="77" t="n"/>
      <c r="C351" s="77" t="n"/>
      <c r="D351" s="77" t="n"/>
      <c r="E351" s="32" t="inlineStr">
        <is>
          <t>B</t>
        </is>
      </c>
      <c r="F351" s="77" t="n"/>
      <c r="G351" s="77" t="n"/>
      <c r="H351" s="77" t="n"/>
      <c r="I351" s="28" t="n">
        <v>2</v>
      </c>
      <c r="J351" s="62" t="inlineStr">
        <is>
          <t>Matriks Analisis Risiko</t>
        </is>
      </c>
      <c r="K351" s="78" t="inlineStr"/>
      <c r="L351" s="29" t="n"/>
      <c r="M351" s="10" t="n"/>
      <c r="N351" s="29" t="n"/>
      <c r="O351" s="29" t="n"/>
      <c r="P351" s="29" t="n"/>
      <c r="Q351" s="10" t="n"/>
      <c r="R351" s="30">
        <f>IF(OR(L351="",L351="N/A"),"",IF(L351="Tidak Ada",0,IF(P351="","",IF(P351="Tidak Sesuai",0,IF(AND(N351="Ya",O351="Ya",P351="Sesuai"),1,0.5)))))</f>
        <v/>
      </c>
      <c r="S351" s="30">
        <f>IF(L351="N/A","N/A",IF(R351="","Belum dinilai",IF(R351=1,"Memenuhi",IF(R351=0,"Tidak Memenuhi","Memenuhi Sebagian"))))</f>
        <v/>
      </c>
      <c r="T351" s="31" t="inlineStr">
        <is>
          <t>2.2-1</t>
        </is>
      </c>
      <c r="U351" s="77" t="n"/>
    </row>
    <row r="352" ht="27" customHeight="1">
      <c r="A352" s="77" t="n"/>
      <c r="B352" s="77" t="n"/>
      <c r="C352" s="77" t="n"/>
      <c r="D352" s="77" t="n"/>
      <c r="E352" s="32" t="inlineStr">
        <is>
          <t>B</t>
        </is>
      </c>
      <c r="F352" s="79" t="n"/>
      <c r="G352" s="79" t="n"/>
      <c r="H352" s="79" t="n"/>
      <c r="I352" s="28" t="n">
        <v>3</v>
      </c>
      <c r="J352" s="62" t="inlineStr">
        <is>
          <t>Rekapitulasi Tren Risiko</t>
        </is>
      </c>
      <c r="K352" s="78" t="inlineStr"/>
      <c r="L352" s="29" t="n"/>
      <c r="M352" s="10" t="n"/>
      <c r="N352" s="29" t="n"/>
      <c r="O352" s="29" t="n"/>
      <c r="P352" s="29" t="n"/>
      <c r="Q352" s="10" t="n"/>
      <c r="R352" s="30">
        <f>IF(OR(L352="",L352="N/A"),"",IF(L352="Tidak Ada",0,IF(P352="","",IF(P352="Tidak Sesuai",0,IF(AND(N352="Ya",O352="Ya",P352="Sesuai"),1,0.5)))))</f>
        <v/>
      </c>
      <c r="S352" s="30">
        <f>IF(L352="N/A","N/A",IF(R352="","Belum dinilai",IF(R352=1,"Memenuhi",IF(R352=0,"Tidak Memenuhi","Memenuhi Sebagian"))))</f>
        <v/>
      </c>
      <c r="T352" s="31" t="inlineStr">
        <is>
          <t>2.2-1</t>
        </is>
      </c>
      <c r="U352" s="79" t="n"/>
    </row>
    <row r="353" ht="27" customHeight="1">
      <c r="A353" s="77" t="n"/>
      <c r="B353" s="77" t="n"/>
      <c r="C353" s="77" t="n"/>
      <c r="D353" s="77" t="n"/>
      <c r="E353" s="33" t="inlineStr">
        <is>
          <t>C</t>
        </is>
      </c>
      <c r="F353" s="62" t="inlineStr">
        <is>
          <t>C – Implementasi</t>
        </is>
      </c>
      <c r="G353" s="62" t="inlineStr">
        <is>
          <t>Analisis risiko telah dilakukan secara memadai terhadap risiko operasional unit kerja</t>
        </is>
      </c>
      <c r="H353" s="62" t="inlineStr">
        <is>
          <t>Analisis risiko telah dilakukan secara memadai terhadap risiko operasional unit kerja</t>
        </is>
      </c>
      <c r="I353" s="28" t="n">
        <v>1</v>
      </c>
      <c r="J353" s="62" t="inlineStr">
        <is>
          <t>Laporan Hasil Analisis Risiko</t>
        </is>
      </c>
      <c r="K353" s="78" t="inlineStr"/>
      <c r="L353" s="29" t="n"/>
      <c r="M353" s="10" t="n"/>
      <c r="N353" s="29" t="n"/>
      <c r="O353" s="29" t="n"/>
      <c r="P353" s="29" t="n"/>
      <c r="Q353" s="10" t="n"/>
      <c r="R353" s="30">
        <f>IF(OR(L353="",L353="N/A"),"",IF(L353="Tidak Ada",0,IF(P353="","",IF(P353="Tidak Sesuai",0,IF(AND(N353="Ya",O353="Ya",P353="Sesuai"),1,0.5)))))</f>
        <v/>
      </c>
      <c r="S353" s="30">
        <f>IF(L353="N/A","N/A",IF(R353="","Belum dinilai",IF(R353=1,"Memenuhi",IF(R353=0,"Tidak Memenuhi","Memenuhi Sebagian"))))</f>
        <v/>
      </c>
      <c r="T353" s="31" t="inlineStr">
        <is>
          <t>2.2-1</t>
        </is>
      </c>
      <c r="U353" s="63">
        <f>IF(COUNT(R353:R354)=0,"",SUM(R353:R354)/COUNT(R353:R354))</f>
        <v/>
      </c>
    </row>
    <row r="354" ht="27" customHeight="1">
      <c r="A354" s="77" t="n"/>
      <c r="B354" s="77" t="n"/>
      <c r="C354" s="77" t="n"/>
      <c r="D354" s="77" t="n"/>
      <c r="E354" s="33" t="inlineStr">
        <is>
          <t>C</t>
        </is>
      </c>
      <c r="F354" s="79" t="n"/>
      <c r="G354" s="79" t="n"/>
      <c r="H354" s="79" t="n"/>
      <c r="I354" s="28" t="n">
        <v>2</v>
      </c>
      <c r="J354" s="62" t="inlineStr">
        <is>
          <t>Matriks Analisis Risiko Operasional Unit Kerja</t>
        </is>
      </c>
      <c r="K354" s="78" t="inlineStr"/>
      <c r="L354" s="29" t="inlineStr">
        <is>
          <t>Ada</t>
        </is>
      </c>
      <c r="M354" s="66" t="inlineStr">
        <is>
          <t>Matrik Analisis Risiko Strategis &amp; Operasional</t>
        </is>
      </c>
      <c r="N354" s="29" t="inlineStr">
        <is>
          <t>Ya</t>
        </is>
      </c>
      <c r="O354" s="29" t="inlineStr">
        <is>
          <t>Ya</t>
        </is>
      </c>
      <c r="P354" s="29" t="inlineStr">
        <is>
          <t>Sesuai</t>
        </is>
      </c>
      <c r="Q354" s="10" t="n"/>
      <c r="R354" s="30">
        <f>IF(OR(L354="",L354="N/A"),"",IF(L354="Tidak Ada",0,IF(P354="","",IF(P354="Tidak Sesuai",0,IF(AND(N354="Ya",O354="Ya",P354="Sesuai"),1,0.5)))))</f>
        <v/>
      </c>
      <c r="S354" s="30">
        <f>IF(L354="N/A","N/A",IF(R354="","Belum dinilai",IF(R354=1,"Memenuhi",IF(R354=0,"Tidak Memenuhi","Memenuhi Sebagian"))))</f>
        <v/>
      </c>
      <c r="T354" s="31" t="inlineStr">
        <is>
          <t>2.2-1</t>
        </is>
      </c>
      <c r="U354" s="79" t="n"/>
    </row>
    <row r="355" ht="39" customHeight="1">
      <c r="A355" s="77" t="n"/>
      <c r="B355" s="77" t="n"/>
      <c r="C355" s="77" t="n"/>
      <c r="D355" s="77" t="n"/>
      <c r="E355" s="34" t="inlineStr">
        <is>
          <t>D</t>
        </is>
      </c>
      <c r="F355" s="62" t="inlineStr">
        <is>
          <t>D – Komunikasi &amp; Pemahaman</t>
        </is>
      </c>
      <c r="G355" s="62" t="inlineStr">
        <is>
          <t>Analisis risiko telah dilakukan terhadap seluruh risiko operasional yang teridentifikasi namun belum memadai</t>
        </is>
      </c>
      <c r="H355" s="62" t="inlineStr">
        <is>
          <t>Analisis risiko telah dilakukan terhadap seluruh risiko operasional yang teridentifikasi namun belum memadai</t>
        </is>
      </c>
      <c r="I355" s="28" t="n">
        <v>1</v>
      </c>
      <c r="J355" s="62" t="inlineStr">
        <is>
          <t>Matriks Analisis Risiko Operasional Unit Kerja</t>
        </is>
      </c>
      <c r="K355" s="78" t="inlineStr"/>
      <c r="L355" s="29" t="n"/>
      <c r="M355" s="10" t="n"/>
      <c r="N355" s="29" t="n"/>
      <c r="O355" s="29" t="n"/>
      <c r="P355" s="29" t="n"/>
      <c r="Q355" s="10" t="n"/>
      <c r="R355" s="30">
        <f>IF(OR(L355="",L355="N/A"),"",IF(L355="Tidak Ada",0,IF(P355="","",IF(P355="Tidak Sesuai",0,IF(AND(N355="Ya",O355="Ya",P355="Sesuai"),1,0.5)))))</f>
        <v/>
      </c>
      <c r="S355" s="30">
        <f>IF(L355="N/A","N/A",IF(R355="","Belum dinilai",IF(R355=1,"Memenuhi",IF(R355=0,"Tidak Memenuhi","Memenuhi Sebagian"))))</f>
        <v/>
      </c>
      <c r="T355" s="31" t="inlineStr">
        <is>
          <t>2.2-1</t>
        </is>
      </c>
      <c r="U355" s="63">
        <f>IF(COUNT(R355:R356)=0,"",SUM(R355:R356)/COUNT(R355:R356))</f>
        <v/>
      </c>
    </row>
    <row r="356" ht="39" customHeight="1">
      <c r="A356" s="77" t="n"/>
      <c r="B356" s="77" t="n"/>
      <c r="C356" s="77" t="n"/>
      <c r="D356" s="77" t="n"/>
      <c r="E356" s="34" t="inlineStr">
        <is>
          <t>D</t>
        </is>
      </c>
      <c r="F356" s="79" t="n"/>
      <c r="G356" s="79" t="n"/>
      <c r="H356" s="79" t="n"/>
      <c r="I356" s="28" t="n">
        <v>2</v>
      </c>
      <c r="J356" s="62" t="inlineStr">
        <is>
          <t>Risk Register yang Telah Dianalisis</t>
        </is>
      </c>
      <c r="K356" s="78" t="inlineStr"/>
      <c r="L356" s="29" t="n"/>
      <c r="M356" s="10" t="n"/>
      <c r="N356" s="29" t="n"/>
      <c r="O356" s="29" t="n"/>
      <c r="P356" s="29" t="n"/>
      <c r="Q356" s="10" t="n"/>
      <c r="R356" s="30">
        <f>IF(OR(L356="",L356="N/A"),"",IF(L356="Tidak Ada",0,IF(P356="","",IF(P356="Tidak Sesuai",0,IF(AND(N356="Ya",O356="Ya",P356="Sesuai"),1,0.5)))))</f>
        <v/>
      </c>
      <c r="S356" s="30">
        <f>IF(L356="N/A","N/A",IF(R356="","Belum dinilai",IF(R356=1,"Memenuhi",IF(R356=0,"Tidak Memenuhi","Memenuhi Sebagian"))))</f>
        <v/>
      </c>
      <c r="T356" s="31" t="inlineStr">
        <is>
          <t>2.2-1</t>
        </is>
      </c>
      <c r="U356" s="79" t="n"/>
    </row>
    <row r="357" ht="75" customHeight="1">
      <c r="A357" s="79" t="n"/>
      <c r="B357" s="79" t="n"/>
      <c r="C357" s="79" t="n"/>
      <c r="D357" s="79" t="n"/>
      <c r="E357" s="35" t="inlineStr">
        <is>
          <t>E</t>
        </is>
      </c>
      <c r="F357" s="62" t="inlineStr">
        <is>
          <t>E – Kebijakan/Formalitas</t>
        </is>
      </c>
      <c r="G357" s="62" t="inlineStr">
        <is>
          <t>Analisis risiko telah dilakukan terhadap sebagian risiko operasional yang teridentifikasi.</t>
        </is>
      </c>
      <c r="H357" s="62" t="inlineStr">
        <is>
          <t>Organisasi telah memiliki/menetapkan analisis risiko telah dilakukan terhadap sebagian risiko operasional yang teridentifikasi.</t>
        </is>
      </c>
      <c r="I357" s="28" t="n">
        <v>1</v>
      </c>
      <c r="J357" s="62" t="inlineStr">
        <is>
          <t>Matriks Analisis Risiko Operasional Unit Kerja</t>
        </is>
      </c>
      <c r="K357" s="78" t="inlineStr"/>
      <c r="L357" s="29" t="n"/>
      <c r="M357" s="10" t="n"/>
      <c r="N357" s="29" t="n"/>
      <c r="O357" s="29" t="n"/>
      <c r="P357" s="29" t="n"/>
      <c r="Q357" s="10" t="n"/>
      <c r="R357" s="30">
        <f>IF(OR(L357="",L357="N/A"),"",IF(L357="Tidak Ada",0,IF(P357="","",IF(P357="Tidak Sesuai",0,IF(AND(N357="Ya",O357="Ya",P357="Sesuai"),1,0.5)))))</f>
        <v/>
      </c>
      <c r="S357" s="30">
        <f>IF(L357="N/A","N/A",IF(R357="","Belum dinilai",IF(R357=1,"Memenuhi",IF(R357=0,"Tidak Memenuhi","Memenuhi Sebagian"))))</f>
        <v/>
      </c>
      <c r="T357" s="31" t="inlineStr">
        <is>
          <t>2.2-1</t>
        </is>
      </c>
      <c r="U357" s="63">
        <f>IF(COUNT(R357:R357)=0,"",SUM(R357:R357)/COUNT(R357:R357))</f>
        <v/>
      </c>
    </row>
    <row r="358" ht="27" customHeight="1">
      <c r="A358" s="56" t="inlineStr">
        <is>
          <t>2.2</t>
        </is>
      </c>
      <c r="B358" s="57" t="inlineStr">
        <is>
          <t>Analisis Risiko</t>
        </is>
      </c>
      <c r="C358" s="58" t="n">
        <v>2</v>
      </c>
      <c r="D358" s="59" t="inlineStr">
        <is>
          <t>K/L/D telah menentukan prioritas risiko</t>
        </is>
      </c>
      <c r="E358" s="21" t="inlineStr">
        <is>
          <t>A</t>
        </is>
      </c>
      <c r="F358" s="60" t="inlineStr">
        <is>
          <t>A – Perbaikan Berkelanjutan</t>
        </is>
      </c>
      <c r="G358" s="60" t="inlineStr">
        <is>
          <t>Instansi Pemerintah telah menentukan prioritas risiko pada seluruh risiko operasional unit kerja, strategis unit kerja, strategis K/L/D</t>
        </is>
      </c>
      <c r="H358" s="60" t="inlineStr">
        <is>
          <t>Instansi Pemerintah telah menentukan prioritas risiko pada seluruh risiko operasional unit kerja, strategis unit kerja, strategis K/L/D</t>
        </is>
      </c>
      <c r="I358" s="22" t="n">
        <v>1</v>
      </c>
      <c r="J358" s="60" t="inlineStr">
        <is>
          <t>Laporan Evaluasi Risiko/Prioritas Risiko</t>
        </is>
      </c>
      <c r="K358" s="76" t="inlineStr"/>
      <c r="L358" s="23" t="n"/>
      <c r="M358" s="24" t="n"/>
      <c r="N358" s="23" t="n"/>
      <c r="O358" s="23" t="n"/>
      <c r="P358" s="23" t="n"/>
      <c r="Q358" s="24" t="n"/>
      <c r="R358" s="25">
        <f>IF(OR(L358="",L358="N/A"),"",IF(L358="Tidak Ada",0,IF(P358="","",IF(P358="Tidak Sesuai",0,IF(AND(N358="Ya",O358="Ya",P358="Sesuai"),1,0.5)))))</f>
        <v/>
      </c>
      <c r="S358" s="25">
        <f>IF(L358="N/A","N/A",IF(R358="","Belum dinilai",IF(R358=1,"Memenuhi",IF(R358=0,"Tidak Memenuhi","Memenuhi Sebagian"))))</f>
        <v/>
      </c>
      <c r="T358" s="26" t="inlineStr">
        <is>
          <t>2.2-2</t>
        </is>
      </c>
      <c r="U358" s="61">
        <f>IF(COUNT(R358:R360)=0,"",SUM(R358:R360)/COUNT(R358:R360))</f>
        <v/>
      </c>
    </row>
    <row r="359" ht="27" customHeight="1">
      <c r="A359" s="77" t="n"/>
      <c r="B359" s="77" t="n"/>
      <c r="C359" s="77" t="n"/>
      <c r="D359" s="77" t="n"/>
      <c r="E359" s="27" t="inlineStr">
        <is>
          <t>A</t>
        </is>
      </c>
      <c r="F359" s="77" t="n"/>
      <c r="G359" s="77" t="n"/>
      <c r="H359" s="77" t="n"/>
      <c r="I359" s="28" t="n">
        <v>2</v>
      </c>
      <c r="J359" s="62" t="inlineStr">
        <is>
          <t>Daftar Prioritas Risiko</t>
        </is>
      </c>
      <c r="K359" s="78" t="inlineStr"/>
      <c r="L359" s="29" t="n"/>
      <c r="M359" s="10" t="n"/>
      <c r="N359" s="29" t="n"/>
      <c r="O359" s="29" t="n"/>
      <c r="P359" s="29" t="n"/>
      <c r="Q359" s="10" t="n"/>
      <c r="R359" s="30">
        <f>IF(OR(L359="",L359="N/A"),"",IF(L359="Tidak Ada",0,IF(P359="","",IF(P359="Tidak Sesuai",0,IF(AND(N359="Ya",O359="Ya",P359="Sesuai"),1,0.5)))))</f>
        <v/>
      </c>
      <c r="S359" s="30">
        <f>IF(L359="N/A","N/A",IF(R359="","Belum dinilai",IF(R359=1,"Memenuhi",IF(R359=0,"Tidak Memenuhi","Memenuhi Sebagian"))))</f>
        <v/>
      </c>
      <c r="T359" s="31" t="inlineStr">
        <is>
          <t>2.2-2</t>
        </is>
      </c>
      <c r="U359" s="77" t="n"/>
    </row>
    <row r="360" ht="27" customHeight="1">
      <c r="A360" s="77" t="n"/>
      <c r="B360" s="77" t="n"/>
      <c r="C360" s="77" t="n"/>
      <c r="D360" s="77" t="n"/>
      <c r="E360" s="27" t="inlineStr">
        <is>
          <t>A</t>
        </is>
      </c>
      <c r="F360" s="79" t="n"/>
      <c r="G360" s="79" t="n"/>
      <c r="H360" s="79" t="n"/>
      <c r="I360" s="28" t="n">
        <v>3</v>
      </c>
      <c r="J360" s="62" t="inlineStr">
        <is>
          <t>Matriks Pemeringkatan Risiko</t>
        </is>
      </c>
      <c r="K360" s="78" t="inlineStr"/>
      <c r="L360" s="29" t="n"/>
      <c r="M360" s="10" t="n"/>
      <c r="N360" s="29" t="n"/>
      <c r="O360" s="29" t="n"/>
      <c r="P360" s="29" t="n"/>
      <c r="Q360" s="10" t="n"/>
      <c r="R360" s="30">
        <f>IF(OR(L360="",L360="N/A"),"",IF(L360="Tidak Ada",0,IF(P360="","",IF(P360="Tidak Sesuai",0,IF(AND(N360="Ya",O360="Ya",P360="Sesuai"),1,0.5)))))</f>
        <v/>
      </c>
      <c r="S360" s="30">
        <f>IF(L360="N/A","N/A",IF(R360="","Belum dinilai",IF(R360=1,"Memenuhi",IF(R360=0,"Tidak Memenuhi","Memenuhi Sebagian"))))</f>
        <v/>
      </c>
      <c r="T360" s="31" t="inlineStr">
        <is>
          <t>2.2-2</t>
        </is>
      </c>
      <c r="U360" s="79" t="n"/>
    </row>
    <row r="361" ht="39" customHeight="1">
      <c r="A361" s="77" t="n"/>
      <c r="B361" s="77" t="n"/>
      <c r="C361" s="77" t="n"/>
      <c r="D361" s="77" t="n"/>
      <c r="E361" s="32" t="inlineStr">
        <is>
          <t>B</t>
        </is>
      </c>
      <c r="F361" s="62" t="inlineStr">
        <is>
          <t>B – Evaluasi &amp; Tindak Lanjut</t>
        </is>
      </c>
      <c r="G361" s="62" t="inlineStr">
        <is>
          <t>Instansi Pemerintah telah menentukan prioritas risiko pada seluruh risiko operasional unit kerja dan strategis unit kerja</t>
        </is>
      </c>
      <c r="H361" s="62" t="inlineStr">
        <is>
          <t>Instansi Pemerintah telah menentukan prioritas risiko pada seluruh risiko operasional unit kerja dan strategis unit kerja</t>
        </is>
      </c>
      <c r="I361" s="28" t="n">
        <v>1</v>
      </c>
      <c r="J361" s="62" t="inlineStr">
        <is>
          <t>Laporan Evaluasi Risiko/Prioritas Risiko</t>
        </is>
      </c>
      <c r="K361" s="78" t="inlineStr"/>
      <c r="L361" s="29" t="n"/>
      <c r="M361" s="10" t="n"/>
      <c r="N361" s="29" t="n"/>
      <c r="O361" s="29" t="n"/>
      <c r="P361" s="29" t="n"/>
      <c r="Q361" s="10" t="n"/>
      <c r="R361" s="30">
        <f>IF(OR(L361="",L361="N/A"),"",IF(L361="Tidak Ada",0,IF(P361="","",IF(P361="Tidak Sesuai",0,IF(AND(N361="Ya",O361="Ya",P361="Sesuai"),1,0.5)))))</f>
        <v/>
      </c>
      <c r="S361" s="30">
        <f>IF(L361="N/A","N/A",IF(R361="","Belum dinilai",IF(R361=1,"Memenuhi",IF(R361=0,"Tidak Memenuhi","Memenuhi Sebagian"))))</f>
        <v/>
      </c>
      <c r="T361" s="31" t="inlineStr">
        <is>
          <t>2.2-2</t>
        </is>
      </c>
      <c r="U361" s="63">
        <f>IF(COUNT(R361:R362)=0,"",SUM(R361:R362)/COUNT(R361:R362))</f>
        <v/>
      </c>
    </row>
    <row r="362" ht="39" customHeight="1">
      <c r="A362" s="77" t="n"/>
      <c r="B362" s="77" t="n"/>
      <c r="C362" s="77" t="n"/>
      <c r="D362" s="77" t="n"/>
      <c r="E362" s="32" t="inlineStr">
        <is>
          <t>B</t>
        </is>
      </c>
      <c r="F362" s="79" t="n"/>
      <c r="G362" s="79" t="n"/>
      <c r="H362" s="79" t="n"/>
      <c r="I362" s="28" t="n">
        <v>2</v>
      </c>
      <c r="J362" s="62" t="inlineStr">
        <is>
          <t>Daftar Prioritas Risiko Operasional dan Strategis Unit Kerja</t>
        </is>
      </c>
      <c r="K362" s="78" t="inlineStr"/>
      <c r="L362" s="29" t="n"/>
      <c r="M362" s="10" t="n"/>
      <c r="N362" s="29" t="n"/>
      <c r="O362" s="29" t="n"/>
      <c r="P362" s="29" t="n"/>
      <c r="Q362" s="10" t="n"/>
      <c r="R362" s="30">
        <f>IF(OR(L362="",L362="N/A"),"",IF(L362="Tidak Ada",0,IF(P362="","",IF(P362="Tidak Sesuai",0,IF(AND(N362="Ya",O362="Ya",P362="Sesuai"),1,0.5)))))</f>
        <v/>
      </c>
      <c r="S362" s="30">
        <f>IF(L362="N/A","N/A",IF(R362="","Belum dinilai",IF(R362=1,"Memenuhi",IF(R362=0,"Tidak Memenuhi","Memenuhi Sebagian"))))</f>
        <v/>
      </c>
      <c r="T362" s="31" t="inlineStr">
        <is>
          <t>2.2-2</t>
        </is>
      </c>
      <c r="U362" s="79" t="n"/>
    </row>
    <row r="363" ht="39" customHeight="1">
      <c r="A363" s="77" t="n"/>
      <c r="B363" s="77" t="n"/>
      <c r="C363" s="77" t="n"/>
      <c r="D363" s="77" t="n"/>
      <c r="E363" s="33" t="inlineStr">
        <is>
          <t>C</t>
        </is>
      </c>
      <c r="F363" s="62" t="inlineStr">
        <is>
          <t>C – Implementasi</t>
        </is>
      </c>
      <c r="G363" s="62" t="inlineStr">
        <is>
          <t>Instansi Pemerintah telah menentukan prioritas risiko pada seluruh risiko operasional unit kerja dan sebagian risiko strategis unit kerja</t>
        </is>
      </c>
      <c r="H363" s="62" t="inlineStr">
        <is>
          <t>Instansi Pemerintah telah menentukan prioritas risiko pada seluruh risiko operasional unit kerja dan sebagian risiko strategis unit kerja</t>
        </is>
      </c>
      <c r="I363" s="28" t="n">
        <v>1</v>
      </c>
      <c r="J363" s="62" t="inlineStr">
        <is>
          <t>Laporan Evaluasi Risiko/Prioritas Risiko</t>
        </is>
      </c>
      <c r="K363" s="78" t="inlineStr"/>
      <c r="L363" s="29" t="n"/>
      <c r="M363" s="10" t="n"/>
      <c r="N363" s="29" t="n"/>
      <c r="O363" s="29" t="n"/>
      <c r="P363" s="29" t="n"/>
      <c r="Q363" s="10" t="n"/>
      <c r="R363" s="30">
        <f>IF(OR(L363="",L363="N/A"),"",IF(L363="Tidak Ada",0,IF(P363="","",IF(P363="Tidak Sesuai",0,IF(AND(N363="Ya",O363="Ya",P363="Sesuai"),1,0.5)))))</f>
        <v/>
      </c>
      <c r="S363" s="30">
        <f>IF(L363="N/A","N/A",IF(R363="","Belum dinilai",IF(R363=1,"Memenuhi",IF(R363=0,"Tidak Memenuhi","Memenuhi Sebagian"))))</f>
        <v/>
      </c>
      <c r="T363" s="31" t="inlineStr">
        <is>
          <t>2.2-2</t>
        </is>
      </c>
      <c r="U363" s="63">
        <f>IF(COUNT(R363:R364)=0,"",SUM(R363:R364)/COUNT(R363:R364))</f>
        <v/>
      </c>
    </row>
    <row r="364" ht="39" customHeight="1">
      <c r="A364" s="77" t="n"/>
      <c r="B364" s="77" t="n"/>
      <c r="C364" s="77" t="n"/>
      <c r="D364" s="77" t="n"/>
      <c r="E364" s="33" t="inlineStr">
        <is>
          <t>C</t>
        </is>
      </c>
      <c r="F364" s="79" t="n"/>
      <c r="G364" s="79" t="n"/>
      <c r="H364" s="79" t="n"/>
      <c r="I364" s="28" t="n">
        <v>2</v>
      </c>
      <c r="J364" s="62" t="inlineStr">
        <is>
          <t>Daftar Prioritas Risiko Operasional dan Sebagian Risiko Strategis Unit Kerja</t>
        </is>
      </c>
      <c r="K364" s="78" t="inlineStr"/>
      <c r="L364" s="29" t="inlineStr">
        <is>
          <t>Ada</t>
        </is>
      </c>
      <c r="M364" s="66" t="inlineStr">
        <is>
          <t>tahun 2026</t>
        </is>
      </c>
      <c r="N364" s="29" t="inlineStr">
        <is>
          <t>Ya</t>
        </is>
      </c>
      <c r="O364" s="29" t="inlineStr">
        <is>
          <t>Ya</t>
        </is>
      </c>
      <c r="P364" s="29" t="inlineStr">
        <is>
          <t>Sesuai</t>
        </is>
      </c>
      <c r="Q364" s="10" t="n"/>
      <c r="R364" s="30">
        <f>IF(OR(L364="",L364="N/A"),"",IF(L364="Tidak Ada",0,IF(P364="","",IF(P364="Tidak Sesuai",0,IF(AND(N364="Ya",O364="Ya",P364="Sesuai"),1,0.5)))))</f>
        <v/>
      </c>
      <c r="S364" s="30">
        <f>IF(L364="N/A","N/A",IF(R364="","Belum dinilai",IF(R364=1,"Memenuhi",IF(R364=0,"Tidak Memenuhi","Memenuhi Sebagian"))))</f>
        <v/>
      </c>
      <c r="T364" s="31" t="inlineStr">
        <is>
          <t>2.2-2</t>
        </is>
      </c>
      <c r="U364" s="79" t="n"/>
    </row>
    <row r="365" ht="27" customHeight="1">
      <c r="A365" s="77" t="n"/>
      <c r="B365" s="77" t="n"/>
      <c r="C365" s="77" t="n"/>
      <c r="D365" s="77" t="n"/>
      <c r="E365" s="34" t="inlineStr">
        <is>
          <t>D</t>
        </is>
      </c>
      <c r="F365" s="62" t="inlineStr">
        <is>
          <t>D – Komunikasi &amp; Pemahaman</t>
        </is>
      </c>
      <c r="G365" s="62" t="inlineStr">
        <is>
          <t>Instansi Pemerintah telah menentukan prioritas risiko pada seluruh risiko operasional unit kerja</t>
        </is>
      </c>
      <c r="H365" s="62" t="inlineStr">
        <is>
          <t>Instansi Pemerintah telah menentukan prioritas risiko pada seluruh risiko operasional unit kerja</t>
        </is>
      </c>
      <c r="I365" s="28" t="n">
        <v>1</v>
      </c>
      <c r="J365" s="62" t="inlineStr">
        <is>
          <t>Laporan Evaluasi Risiko/Prioritas Risiko Operasional Unit Kerja</t>
        </is>
      </c>
      <c r="K365" s="78" t="inlineStr"/>
      <c r="L365" s="29" t="n"/>
      <c r="M365" s="10" t="n"/>
      <c r="N365" s="29" t="n"/>
      <c r="O365" s="29" t="n"/>
      <c r="P365" s="29" t="n"/>
      <c r="Q365" s="10" t="n"/>
      <c r="R365" s="30">
        <f>IF(OR(L365="",L365="N/A"),"",IF(L365="Tidak Ada",0,IF(P365="","",IF(P365="Tidak Sesuai",0,IF(AND(N365="Ya",O365="Ya",P365="Sesuai"),1,0.5)))))</f>
        <v/>
      </c>
      <c r="S365" s="30">
        <f>IF(L365="N/A","N/A",IF(R365="","Belum dinilai",IF(R365=1,"Memenuhi",IF(R365=0,"Tidak Memenuhi","Memenuhi Sebagian"))))</f>
        <v/>
      </c>
      <c r="T365" s="31" t="inlineStr">
        <is>
          <t>2.2-2</t>
        </is>
      </c>
      <c r="U365" s="63">
        <f>IF(COUNT(R365:R366)=0,"",SUM(R365:R366)/COUNT(R365:R366))</f>
        <v/>
      </c>
    </row>
    <row r="366" ht="27" customHeight="1">
      <c r="A366" s="77" t="n"/>
      <c r="B366" s="77" t="n"/>
      <c r="C366" s="77" t="n"/>
      <c r="D366" s="77" t="n"/>
      <c r="E366" s="34" t="inlineStr">
        <is>
          <t>D</t>
        </is>
      </c>
      <c r="F366" s="79" t="n"/>
      <c r="G366" s="79" t="n"/>
      <c r="H366" s="79" t="n"/>
      <c r="I366" s="28" t="n">
        <v>2</v>
      </c>
      <c r="J366" s="62" t="inlineStr">
        <is>
          <t>Daftar Prioritas Risiko</t>
        </is>
      </c>
      <c r="K366" s="78" t="inlineStr"/>
      <c r="L366" s="29" t="n"/>
      <c r="M366" s="10" t="n"/>
      <c r="N366" s="29" t="n"/>
      <c r="O366" s="29" t="n"/>
      <c r="P366" s="29" t="n"/>
      <c r="Q366" s="10" t="n"/>
      <c r="R366" s="30">
        <f>IF(OR(L366="",L366="N/A"),"",IF(L366="Tidak Ada",0,IF(P366="","",IF(P366="Tidak Sesuai",0,IF(AND(N366="Ya",O366="Ya",P366="Sesuai"),1,0.5)))))</f>
        <v/>
      </c>
      <c r="S366" s="30">
        <f>IF(L366="N/A","N/A",IF(R366="","Belum dinilai",IF(R366=1,"Memenuhi",IF(R366=0,"Tidak Memenuhi","Memenuhi Sebagian"))))</f>
        <v/>
      </c>
      <c r="T366" s="31" t="inlineStr">
        <is>
          <t>2.2-2</t>
        </is>
      </c>
      <c r="U366" s="79" t="n"/>
    </row>
    <row r="367" ht="39" customHeight="1">
      <c r="A367" s="77" t="n"/>
      <c r="B367" s="77" t="n"/>
      <c r="C367" s="77" t="n"/>
      <c r="D367" s="77" t="n"/>
      <c r="E367" s="35" t="inlineStr">
        <is>
          <t>E</t>
        </is>
      </c>
      <c r="F367" s="62" t="inlineStr">
        <is>
          <t>E – Kebijakan/Formalitas</t>
        </is>
      </c>
      <c r="G367" s="62" t="inlineStr">
        <is>
          <t>Instansi Pemerintah telah menentukan prioritas risiko pada sebagian risiko operasional unit kerja</t>
        </is>
      </c>
      <c r="H367" s="62" t="inlineStr">
        <is>
          <t>Organisasi telah memiliki/menetapkan instansi pemerintah telah menentukan prioritas risiko pada sebagian risiko operasional unit kerja</t>
        </is>
      </c>
      <c r="I367" s="28" t="n">
        <v>1</v>
      </c>
      <c r="J367" s="62" t="inlineStr">
        <is>
          <t>Laporan Evaluasi Risiko/Prioritas Risiko Operasional Unit Kerja</t>
        </is>
      </c>
      <c r="K367" s="78" t="inlineStr"/>
      <c r="L367" s="29" t="n"/>
      <c r="M367" s="10" t="n"/>
      <c r="N367" s="29" t="n"/>
      <c r="O367" s="29" t="n"/>
      <c r="P367" s="29" t="n"/>
      <c r="Q367" s="10" t="n"/>
      <c r="R367" s="30">
        <f>IF(OR(L367="",L367="N/A"),"",IF(L367="Tidak Ada",0,IF(P367="","",IF(P367="Tidak Sesuai",0,IF(AND(N367="Ya",O367="Ya",P367="Sesuai"),1,0.5)))))</f>
        <v/>
      </c>
      <c r="S367" s="30">
        <f>IF(L367="N/A","N/A",IF(R367="","Belum dinilai",IF(R367=1,"Memenuhi",IF(R367=0,"Tidak Memenuhi","Memenuhi Sebagian"))))</f>
        <v/>
      </c>
      <c r="T367" s="31" t="inlineStr">
        <is>
          <t>2.2-2</t>
        </is>
      </c>
      <c r="U367" s="63">
        <f>IF(COUNT(R367:R368)=0,"",SUM(R367:R368)/COUNT(R367:R368))</f>
        <v/>
      </c>
    </row>
    <row r="368" ht="39" customHeight="1">
      <c r="A368" s="79" t="n"/>
      <c r="B368" s="79" t="n"/>
      <c r="C368" s="79" t="n"/>
      <c r="D368" s="79" t="n"/>
      <c r="E368" s="35" t="inlineStr">
        <is>
          <t>E</t>
        </is>
      </c>
      <c r="F368" s="79" t="n"/>
      <c r="G368" s="79" t="n"/>
      <c r="H368" s="79" t="n"/>
      <c r="I368" s="28" t="n">
        <v>2</v>
      </c>
      <c r="J368" s="62" t="inlineStr">
        <is>
          <t>Daftar Prioritas Risiko</t>
        </is>
      </c>
      <c r="K368" s="78" t="inlineStr"/>
      <c r="L368" s="29" t="n"/>
      <c r="M368" s="10" t="n"/>
      <c r="N368" s="29" t="n"/>
      <c r="O368" s="29" t="n"/>
      <c r="P368" s="29" t="n"/>
      <c r="Q368" s="10" t="n"/>
      <c r="R368" s="30">
        <f>IF(OR(L368="",L368="N/A"),"",IF(L368="Tidak Ada",0,IF(P368="","",IF(P368="Tidak Sesuai",0,IF(AND(N368="Ya",O368="Ya",P368="Sesuai"),1,0.5)))))</f>
        <v/>
      </c>
      <c r="S368" s="30">
        <f>IF(L368="N/A","N/A",IF(R368="","Belum dinilai",IF(R368=1,"Memenuhi",IF(R368=0,"Tidak Memenuhi","Memenuhi Sebagian"))))</f>
        <v/>
      </c>
      <c r="T368" s="31" t="inlineStr">
        <is>
          <t>2.2-2</t>
        </is>
      </c>
      <c r="U368" s="79" t="n"/>
    </row>
    <row r="369" ht="87" customHeight="1">
      <c r="A369" s="56" t="inlineStr">
        <is>
          <t>2.2</t>
        </is>
      </c>
      <c r="B369" s="57" t="inlineStr">
        <is>
          <t>Analisis Risiko</t>
        </is>
      </c>
      <c r="C369" s="58" t="n">
        <v>3</v>
      </c>
      <c r="D369" s="59" t="inlineStr">
        <is>
          <t>K/L/D telah menentukan rencana tindak pengendalian</t>
        </is>
      </c>
      <c r="E369" s="21" t="inlineStr">
        <is>
          <t>A</t>
        </is>
      </c>
      <c r="F369" s="60" t="inlineStr">
        <is>
          <t>A – Perbaikan Berkelanjutan</t>
        </is>
      </c>
      <c r="G369" s="60" t="inlineStr">
        <is>
          <t>Instansi Pemerintah telah menentukan rencana tindak pengendalian terhadap risiko operasional unit kerja, strategis unit kerja, dan strategis K/L/D secara memadai</t>
        </is>
      </c>
      <c r="H369" s="60" t="inlineStr">
        <is>
          <t>Instansi Pemerintah telah menentukan rencana tindak pengendalian terhadap risiko operasional unit kerja, strategis unit kerja, dan strategis K/L/D secara memadai</t>
        </is>
      </c>
      <c r="I369" s="22" t="n">
        <v>1</v>
      </c>
      <c r="J369" s="60" t="inlineStr">
        <is>
          <t>Rencana Tindak Pengendalian (RTP) Risiko Operasional, Strategis Unit Kerja, dan Strategis K/L/D</t>
        </is>
      </c>
      <c r="K369" s="76" t="inlineStr"/>
      <c r="L369" s="23" t="n"/>
      <c r="M369" s="24" t="n"/>
      <c r="N369" s="23" t="n"/>
      <c r="O369" s="23" t="n"/>
      <c r="P369" s="23" t="n"/>
      <c r="Q369" s="24" t="n"/>
      <c r="R369" s="25">
        <f>IF(OR(L369="",L369="N/A"),"",IF(L369="Tidak Ada",0,IF(P369="","",IF(P369="Tidak Sesuai",0,IF(AND(N369="Ya",O369="Ya",P369="Sesuai"),1,0.5)))))</f>
        <v/>
      </c>
      <c r="S369" s="25">
        <f>IF(L369="N/A","N/A",IF(R369="","Belum dinilai",IF(R369=1,"Memenuhi",IF(R369=0,"Tidak Memenuhi","Memenuhi Sebagian"))))</f>
        <v/>
      </c>
      <c r="T369" s="26" t="inlineStr">
        <is>
          <t>2.2-3</t>
        </is>
      </c>
      <c r="U369" s="61">
        <f>IF(COUNT(R369:R369)=0,"",SUM(R369:R369)/COUNT(R369:R369))</f>
        <v/>
      </c>
    </row>
    <row r="370" ht="75" customHeight="1">
      <c r="A370" s="77" t="n"/>
      <c r="B370" s="77" t="n"/>
      <c r="C370" s="77" t="n"/>
      <c r="D370" s="77" t="n"/>
      <c r="E370" s="32" t="inlineStr">
        <is>
          <t>B</t>
        </is>
      </c>
      <c r="F370" s="62" t="inlineStr">
        <is>
          <t>B – Evaluasi &amp; Tindak Lanjut</t>
        </is>
      </c>
      <c r="G370" s="62" t="inlineStr">
        <is>
          <t>Instansi Pemerintah telah menentukan rencana tindak pengendalian terhadap risiko operasional unit kerja dan strategis unit kerja secara memadai</t>
        </is>
      </c>
      <c r="H370" s="62" t="inlineStr">
        <is>
          <t>Instansi Pemerintah telah menentukan rencana tindak pengendalian terhadap risiko operasional unit kerja dan strategis unit kerja secara memadai</t>
        </is>
      </c>
      <c r="I370" s="28" t="n">
        <v>1</v>
      </c>
      <c r="J370" s="62" t="inlineStr">
        <is>
          <t>Rencana Tindak Pengendalian (RTP) Risiko Operasional dan Strategis Unit Kerja</t>
        </is>
      </c>
      <c r="K370" s="78" t="inlineStr"/>
      <c r="L370" s="29" t="n"/>
      <c r="M370" s="10" t="n"/>
      <c r="N370" s="29" t="n"/>
      <c r="O370" s="29" t="n"/>
      <c r="P370" s="29" t="n"/>
      <c r="Q370" s="10" t="n"/>
      <c r="R370" s="30">
        <f>IF(OR(L370="",L370="N/A"),"",IF(L370="Tidak Ada",0,IF(P370="","",IF(P370="Tidak Sesuai",0,IF(AND(N370="Ya",O370="Ya",P370="Sesuai"),1,0.5)))))</f>
        <v/>
      </c>
      <c r="S370" s="30">
        <f>IF(L370="N/A","N/A",IF(R370="","Belum dinilai",IF(R370=1,"Memenuhi",IF(R370=0,"Tidak Memenuhi","Memenuhi Sebagian"))))</f>
        <v/>
      </c>
      <c r="T370" s="31" t="inlineStr">
        <is>
          <t>2.2-3</t>
        </is>
      </c>
      <c r="U370" s="63">
        <f>IF(COUNT(R370:R370)=0,"",SUM(R370:R370)/COUNT(R370:R370))</f>
        <v/>
      </c>
    </row>
    <row r="371" ht="99" customHeight="1">
      <c r="A371" s="77" t="n"/>
      <c r="B371" s="77" t="n"/>
      <c r="C371" s="77" t="n"/>
      <c r="D371" s="77" t="n"/>
      <c r="E371" s="33" t="inlineStr">
        <is>
          <t>C</t>
        </is>
      </c>
      <c r="F371" s="62" t="inlineStr">
        <is>
          <t>C – Implementasi</t>
        </is>
      </c>
      <c r="G371" s="62" t="inlineStr">
        <is>
          <t>Instansi Pemerintah telah menentukan rencana tindak pengendalian terhadap seluruh risiko operasional unit kerja dan sebagian risiko strategis unit kerja yang telah diprioritaskan</t>
        </is>
      </c>
      <c r="H371" s="62" t="inlineStr">
        <is>
          <t>Instansi Pemerintah telah menentukan rencana tindak pengendalian terhadap seluruh risiko operasional unit kerja dan sebagian risiko strategis unit kerja yang telah diprioritaskan</t>
        </is>
      </c>
      <c r="I371" s="28" t="n">
        <v>1</v>
      </c>
      <c r="J371" s="62" t="inlineStr">
        <is>
          <t>Rencana Tindak Pengendalian (RTP) Risiko Operasional dan Sebagian Risiko Strategis Unit Kerja</t>
        </is>
      </c>
      <c r="K371" s="78" t="inlineStr"/>
      <c r="L371" s="29" t="inlineStr">
        <is>
          <t>Ada</t>
        </is>
      </c>
      <c r="M371" s="66" t="inlineStr">
        <is>
          <t>RTP Tahun 2026</t>
        </is>
      </c>
      <c r="N371" s="29" t="inlineStr">
        <is>
          <t>Ya</t>
        </is>
      </c>
      <c r="O371" s="29" t="inlineStr">
        <is>
          <t>Ya</t>
        </is>
      </c>
      <c r="P371" s="29" t="inlineStr">
        <is>
          <t>Sesuai</t>
        </is>
      </c>
      <c r="Q371" s="10" t="n"/>
      <c r="R371" s="30">
        <f>IF(OR(L371="",L371="N/A"),"",IF(L371="Tidak Ada",0,IF(P371="","",IF(P371="Tidak Sesuai",0,IF(AND(N371="Ya",O371="Ya",P371="Sesuai"),1,0.5)))))</f>
        <v/>
      </c>
      <c r="S371" s="30">
        <f>IF(L371="N/A","N/A",IF(R371="","Belum dinilai",IF(R371=1,"Memenuhi",IF(R371=0,"Tidak Memenuhi","Memenuhi Sebagian"))))</f>
        <v/>
      </c>
      <c r="T371" s="31" t="inlineStr">
        <is>
          <t>2.2-3</t>
        </is>
      </c>
      <c r="U371" s="63">
        <f>IF(COUNT(R371:R371)=0,"",SUM(R371:R371)/COUNT(R371:R371))</f>
        <v/>
      </c>
    </row>
    <row r="372" ht="75" customHeight="1">
      <c r="A372" s="77" t="n"/>
      <c r="B372" s="77" t="n"/>
      <c r="C372" s="77" t="n"/>
      <c r="D372" s="77" t="n"/>
      <c r="E372" s="34" t="inlineStr">
        <is>
          <t>D</t>
        </is>
      </c>
      <c r="F372" s="62" t="inlineStr">
        <is>
          <t>D – Komunikasi &amp; Pemahaman</t>
        </is>
      </c>
      <c r="G372" s="62" t="inlineStr">
        <is>
          <t>Instansi Pemerintah telah menentukan rencana tindak pengendalian terhadap seluruh risiko operasional unit kerja yang telah diprioritaskan</t>
        </is>
      </c>
      <c r="H372" s="62" t="inlineStr">
        <is>
          <t>Instansi Pemerintah telah menentukan rencana tindak pengendalian terhadap seluruh risiko operasional unit kerja yang telah diprioritaskan</t>
        </is>
      </c>
      <c r="I372" s="28" t="n">
        <v>1</v>
      </c>
      <c r="J372" s="62" t="inlineStr">
        <is>
          <t>Rencana Tindak Pengendalian (RTP) Risiko Operasional Unit Kerja</t>
        </is>
      </c>
      <c r="K372" s="78" t="inlineStr"/>
      <c r="L372" s="29" t="n"/>
      <c r="M372" s="10" t="n"/>
      <c r="N372" s="29" t="n"/>
      <c r="O372" s="29" t="n"/>
      <c r="P372" s="29" t="n"/>
      <c r="Q372" s="10" t="n"/>
      <c r="R372" s="30">
        <f>IF(OR(L372="",L372="N/A"),"",IF(L372="Tidak Ada",0,IF(P372="","",IF(P372="Tidak Sesuai",0,IF(AND(N372="Ya",O372="Ya",P372="Sesuai"),1,0.5)))))</f>
        <v/>
      </c>
      <c r="S372" s="30">
        <f>IF(L372="N/A","N/A",IF(R372="","Belum dinilai",IF(R372=1,"Memenuhi",IF(R372=0,"Tidak Memenuhi","Memenuhi Sebagian"))))</f>
        <v/>
      </c>
      <c r="T372" s="31" t="inlineStr">
        <is>
          <t>2.2-3</t>
        </is>
      </c>
      <c r="U372" s="63">
        <f>IF(COUNT(R372:R372)=0,"",SUM(R372:R372)/COUNT(R372:R372))</f>
        <v/>
      </c>
    </row>
    <row r="373" ht="99" customHeight="1">
      <c r="A373" s="79" t="n"/>
      <c r="B373" s="79" t="n"/>
      <c r="C373" s="79" t="n"/>
      <c r="D373" s="79" t="n"/>
      <c r="E373" s="35" t="inlineStr">
        <is>
          <t>E</t>
        </is>
      </c>
      <c r="F373" s="62" t="inlineStr">
        <is>
          <t>E – Kebijakan/Formalitas</t>
        </is>
      </c>
      <c r="G373" s="62" t="inlineStr">
        <is>
          <t>Instansi Pemerintah telah menentukan rencana tindak pengendalian terhadap sebagian risiko operasional unit kerja yang telah diprioritaskan</t>
        </is>
      </c>
      <c r="H373" s="62" t="inlineStr">
        <is>
          <t>Organisasi telah memiliki/menetapkan instansi pemerintah telah menentukan rencana tindak pengendalian terhadap sebagian risiko operasional unit kerja yang telah diprioritaskan</t>
        </is>
      </c>
      <c r="I373" s="28" t="n">
        <v>1</v>
      </c>
      <c r="J373" s="62" t="inlineStr">
        <is>
          <t>Rencana Tindak Pengendalian (RTP) Risiko Operasional Unit Kerja</t>
        </is>
      </c>
      <c r="K373" s="78" t="inlineStr"/>
      <c r="L373" s="29" t="n"/>
      <c r="M373" s="10" t="n"/>
      <c r="N373" s="29" t="n"/>
      <c r="O373" s="29" t="n"/>
      <c r="P373" s="29" t="n"/>
      <c r="Q373" s="10" t="n"/>
      <c r="R373" s="30">
        <f>IF(OR(L373="",L373="N/A"),"",IF(L373="Tidak Ada",0,IF(P373="","",IF(P373="Tidak Sesuai",0,IF(AND(N373="Ya",O373="Ya",P373="Sesuai"),1,0.5)))))</f>
        <v/>
      </c>
      <c r="S373" s="30">
        <f>IF(L373="N/A","N/A",IF(R373="","Belum dinilai",IF(R373=1,"Memenuhi",IF(R373=0,"Tidak Memenuhi","Memenuhi Sebagian"))))</f>
        <v/>
      </c>
      <c r="T373" s="31" t="inlineStr">
        <is>
          <t>2.2-3</t>
        </is>
      </c>
      <c r="U373" s="63">
        <f>IF(COUNT(R373:R373)=0,"",SUM(R373:R373)/COUNT(R373:R373))</f>
        <v/>
      </c>
    </row>
    <row r="374" ht="51" customHeight="1">
      <c r="A374" s="56" t="inlineStr">
        <is>
          <t>2.2</t>
        </is>
      </c>
      <c r="B374" s="57" t="inlineStr">
        <is>
          <t>Analisis Risiko</t>
        </is>
      </c>
      <c r="C374" s="58" t="n">
        <v>4</v>
      </c>
      <c r="D374" s="59" t="inlineStr">
        <is>
          <t>Tindak pengendalian telah diimplementasikan</t>
        </is>
      </c>
      <c r="E374" s="21" t="inlineStr">
        <is>
          <t>A</t>
        </is>
      </c>
      <c r="F374" s="60" t="inlineStr">
        <is>
          <t>A – Perbaikan Berkelanjutan</t>
        </is>
      </c>
      <c r="G374" s="60" t="inlineStr">
        <is>
          <t>Tindak pengendalian terhadap seluruh risiko operasional unit kerja, risiko strategis unit kerja, dan risiko strategis K/L/D telah diimplementasikan</t>
        </is>
      </c>
      <c r="H374" s="60" t="inlineStr">
        <is>
          <t>Tindak pengendalian terhadap seluruh risiko operasional unit kerja, risiko strategis unit kerja, dan risiko strategis K/L/D telah diimplementasikan</t>
        </is>
      </c>
      <c r="I374" s="22" t="n">
        <v>1</v>
      </c>
      <c r="J374" s="60" t="inlineStr">
        <is>
          <t>Laporan Pelaksanaan Rencana Tindak Pengendalian (RTP)</t>
        </is>
      </c>
      <c r="K374" s="76" t="inlineStr"/>
      <c r="L374" s="23" t="n"/>
      <c r="M374" s="24" t="n"/>
      <c r="N374" s="23" t="n"/>
      <c r="O374" s="23" t="n"/>
      <c r="P374" s="23" t="n"/>
      <c r="Q374" s="24" t="n"/>
      <c r="R374" s="25">
        <f>IF(OR(L374="",L374="N/A"),"",IF(L374="Tidak Ada",0,IF(P374="","",IF(P374="Tidak Sesuai",0,IF(AND(N374="Ya",O374="Ya",P374="Sesuai"),1,0.5)))))</f>
        <v/>
      </c>
      <c r="S374" s="25">
        <f>IF(L374="N/A","N/A",IF(R374="","Belum dinilai",IF(R374=1,"Memenuhi",IF(R374=0,"Tidak Memenuhi","Memenuhi Sebagian"))))</f>
        <v/>
      </c>
      <c r="T374" s="26" t="inlineStr">
        <is>
          <t>2.2-4</t>
        </is>
      </c>
      <c r="U374" s="61">
        <f>IF(COUNT(R374:R375)=0,"",SUM(R374:R375)/COUNT(R374:R375))</f>
        <v/>
      </c>
    </row>
    <row r="375" ht="51" customHeight="1">
      <c r="A375" s="77" t="n"/>
      <c r="B375" s="77" t="n"/>
      <c r="C375" s="77" t="n"/>
      <c r="D375" s="77" t="n"/>
      <c r="E375" s="27" t="inlineStr">
        <is>
          <t>A</t>
        </is>
      </c>
      <c r="F375" s="79" t="n"/>
      <c r="G375" s="79" t="n"/>
      <c r="H375" s="79" t="n"/>
      <c r="I375" s="28" t="n">
        <v>2</v>
      </c>
      <c r="J375" s="62" t="inlineStr">
        <is>
          <t>Bukti Pelaksanaan RTP Risiko Operasional, Strategis Unit Kerja, dan Strategis K/L/D</t>
        </is>
      </c>
      <c r="K375" s="78" t="inlineStr"/>
      <c r="L375" s="29" t="n"/>
      <c r="M375" s="10" t="n"/>
      <c r="N375" s="29" t="n"/>
      <c r="O375" s="29" t="n"/>
      <c r="P375" s="29" t="n"/>
      <c r="Q375" s="10" t="n"/>
      <c r="R375" s="30">
        <f>IF(OR(L375="",L375="N/A"),"",IF(L375="Tidak Ada",0,IF(P375="","",IF(P375="Tidak Sesuai",0,IF(AND(N375="Ya",O375="Ya",P375="Sesuai"),1,0.5)))))</f>
        <v/>
      </c>
      <c r="S375" s="30">
        <f>IF(L375="N/A","N/A",IF(R375="","Belum dinilai",IF(R375=1,"Memenuhi",IF(R375=0,"Tidak Memenuhi","Memenuhi Sebagian"))))</f>
        <v/>
      </c>
      <c r="T375" s="31" t="inlineStr">
        <is>
          <t>2.2-4</t>
        </is>
      </c>
      <c r="U375" s="79" t="n"/>
    </row>
    <row r="376" ht="39" customHeight="1">
      <c r="A376" s="77" t="n"/>
      <c r="B376" s="77" t="n"/>
      <c r="C376" s="77" t="n"/>
      <c r="D376" s="77" t="n"/>
      <c r="E376" s="32" t="inlineStr">
        <is>
          <t>B</t>
        </is>
      </c>
      <c r="F376" s="62" t="inlineStr">
        <is>
          <t>B – Evaluasi &amp; Tindak Lanjut</t>
        </is>
      </c>
      <c r="G376" s="62" t="inlineStr">
        <is>
          <t>Tindak pengendalian terhadap seluruh risiko operasional unit kerja dan risiko strategis unit kerja telah diimplementasikan</t>
        </is>
      </c>
      <c r="H376" s="62" t="inlineStr">
        <is>
          <t>Tindak pengendalian terhadap seluruh risiko operasional unit kerja dan risiko strategis unit kerja telah diimplementasikan</t>
        </is>
      </c>
      <c r="I376" s="28" t="n">
        <v>1</v>
      </c>
      <c r="J376" s="62" t="inlineStr">
        <is>
          <t>Laporan Pelaksanaan RTP</t>
        </is>
      </c>
      <c r="K376" s="78" t="inlineStr"/>
      <c r="L376" s="29" t="n"/>
      <c r="M376" s="10" t="n"/>
      <c r="N376" s="29" t="n"/>
      <c r="O376" s="29" t="n"/>
      <c r="P376" s="29" t="n"/>
      <c r="Q376" s="10" t="n"/>
      <c r="R376" s="30">
        <f>IF(OR(L376="",L376="N/A"),"",IF(L376="Tidak Ada",0,IF(P376="","",IF(P376="Tidak Sesuai",0,IF(AND(N376="Ya",O376="Ya",P376="Sesuai"),1,0.5)))))</f>
        <v/>
      </c>
      <c r="S376" s="30">
        <f>IF(L376="N/A","N/A",IF(R376="","Belum dinilai",IF(R376=1,"Memenuhi",IF(R376=0,"Tidak Memenuhi","Memenuhi Sebagian"))))</f>
        <v/>
      </c>
      <c r="T376" s="31" t="inlineStr">
        <is>
          <t>2.2-4</t>
        </is>
      </c>
      <c r="U376" s="63">
        <f>IF(COUNT(R376:R377)=0,"",SUM(R376:R377)/COUNT(R376:R377))</f>
        <v/>
      </c>
    </row>
    <row r="377" ht="39" customHeight="1">
      <c r="A377" s="77" t="n"/>
      <c r="B377" s="77" t="n"/>
      <c r="C377" s="77" t="n"/>
      <c r="D377" s="77" t="n"/>
      <c r="E377" s="32" t="inlineStr">
        <is>
          <t>B</t>
        </is>
      </c>
      <c r="F377" s="79" t="n"/>
      <c r="G377" s="79" t="n"/>
      <c r="H377" s="79" t="n"/>
      <c r="I377" s="28" t="n">
        <v>2</v>
      </c>
      <c r="J377" s="62" t="inlineStr">
        <is>
          <t>Bukti Pelaksanaan RTP Risiko Operasional dan Strategis Unit Kerja</t>
        </is>
      </c>
      <c r="K377" s="78" t="inlineStr"/>
      <c r="L377" s="29" t="n"/>
      <c r="M377" s="10" t="n"/>
      <c r="N377" s="29" t="n"/>
      <c r="O377" s="29" t="n"/>
      <c r="P377" s="29" t="n"/>
      <c r="Q377" s="10" t="n"/>
      <c r="R377" s="30">
        <f>IF(OR(L377="",L377="N/A"),"",IF(L377="Tidak Ada",0,IF(P377="","",IF(P377="Tidak Sesuai",0,IF(AND(N377="Ya",O377="Ya",P377="Sesuai"),1,0.5)))))</f>
        <v/>
      </c>
      <c r="S377" s="30">
        <f>IF(L377="N/A","N/A",IF(R377="","Belum dinilai",IF(R377=1,"Memenuhi",IF(R377=0,"Tidak Memenuhi","Memenuhi Sebagian"))))</f>
        <v/>
      </c>
      <c r="T377" s="31" t="inlineStr">
        <is>
          <t>2.2-4</t>
        </is>
      </c>
      <c r="U377" s="79" t="n"/>
    </row>
    <row r="378" ht="39" customHeight="1">
      <c r="A378" s="77" t="n"/>
      <c r="B378" s="77" t="n"/>
      <c r="C378" s="77" t="n"/>
      <c r="D378" s="77" t="n"/>
      <c r="E378" s="33" t="inlineStr">
        <is>
          <t>C</t>
        </is>
      </c>
      <c r="F378" s="62" t="inlineStr">
        <is>
          <t>C – Implementasi</t>
        </is>
      </c>
      <c r="G378" s="62" t="inlineStr">
        <is>
          <t>Tindak pengendalian terhadap seluruh risiko operasional unit kerja dan sebagian risiko strategis unit kerja telah diimplementasikan</t>
        </is>
      </c>
      <c r="H378" s="62" t="inlineStr">
        <is>
          <t>Tindak pengendalian terhadap seluruh risiko operasional unit kerja dan sebagian risiko strategis unit kerja telah diimplementasikan</t>
        </is>
      </c>
      <c r="I378" s="28" t="n">
        <v>1</v>
      </c>
      <c r="J378" s="62" t="inlineStr">
        <is>
          <t>Laporan Pelaksanaan RTP</t>
        </is>
      </c>
      <c r="K378" s="78" t="inlineStr"/>
      <c r="L378" s="29" t="inlineStr">
        <is>
          <t>Ada</t>
        </is>
      </c>
      <c r="M378" s="66" t="inlineStr">
        <is>
          <t>Laporan Pemantauan RTP</t>
        </is>
      </c>
      <c r="N378" s="29" t="inlineStr">
        <is>
          <t>Ya</t>
        </is>
      </c>
      <c r="O378" s="29" t="inlineStr">
        <is>
          <t>Ya</t>
        </is>
      </c>
      <c r="P378" s="29" t="inlineStr">
        <is>
          <t>Sesuai</t>
        </is>
      </c>
      <c r="Q378" s="10" t="n"/>
      <c r="R378" s="30">
        <f>IF(OR(L378="",L378="N/A"),"",IF(L378="Tidak Ada",0,IF(P378="","",IF(P378="Tidak Sesuai",0,IF(AND(N378="Ya",O378="Ya",P378="Sesuai"),1,0.5)))))</f>
        <v/>
      </c>
      <c r="S378" s="30">
        <f>IF(L378="N/A","N/A",IF(R378="","Belum dinilai",IF(R378=1,"Memenuhi",IF(R378=0,"Tidak Memenuhi","Memenuhi Sebagian"))))</f>
        <v/>
      </c>
      <c r="T378" s="31" t="inlineStr">
        <is>
          <t>2.2-4</t>
        </is>
      </c>
      <c r="U378" s="63">
        <f>IF(COUNT(R378:R379)=0,"",SUM(R378:R379)/COUNT(R378:R379))</f>
        <v/>
      </c>
    </row>
    <row r="379" ht="39" customHeight="1">
      <c r="A379" s="77" t="n"/>
      <c r="B379" s="77" t="n"/>
      <c r="C379" s="77" t="n"/>
      <c r="D379" s="77" t="n"/>
      <c r="E379" s="33" t="inlineStr">
        <is>
          <t>C</t>
        </is>
      </c>
      <c r="F379" s="79" t="n"/>
      <c r="G379" s="79" t="n"/>
      <c r="H379" s="79" t="n"/>
      <c r="I379" s="28" t="n">
        <v>2</v>
      </c>
      <c r="J379" s="62" t="inlineStr">
        <is>
          <t>Bukti Pelaksanaan RTP Risiko Operasional dan Sebagian Risiko Strategis Unit Kerja</t>
        </is>
      </c>
      <c r="K379" s="78" t="inlineStr"/>
      <c r="L379" s="29" t="n"/>
      <c r="M379" s="10" t="n"/>
      <c r="N379" s="29" t="n"/>
      <c r="O379" s="29" t="n"/>
      <c r="P379" s="29" t="n"/>
      <c r="Q379" s="10" t="n"/>
      <c r="R379" s="30">
        <f>IF(OR(L379="",L379="N/A"),"",IF(L379="Tidak Ada",0,IF(P379="","",IF(P379="Tidak Sesuai",0,IF(AND(N379="Ya",O379="Ya",P379="Sesuai"),1,0.5)))))</f>
        <v/>
      </c>
      <c r="S379" s="30">
        <f>IF(L379="N/A","N/A",IF(R379="","Belum dinilai",IF(R379=1,"Memenuhi",IF(R379=0,"Tidak Memenuhi","Memenuhi Sebagian"))))</f>
        <v/>
      </c>
      <c r="T379" s="31" t="inlineStr">
        <is>
          <t>2.2-4</t>
        </is>
      </c>
      <c r="U379" s="79" t="n"/>
    </row>
    <row r="380" ht="51" customHeight="1">
      <c r="A380" s="77" t="n"/>
      <c r="B380" s="77" t="n"/>
      <c r="C380" s="77" t="n"/>
      <c r="D380" s="77" t="n"/>
      <c r="E380" s="34" t="inlineStr">
        <is>
          <t>D</t>
        </is>
      </c>
      <c r="F380" s="62" t="inlineStr">
        <is>
          <t>D – Komunikasi &amp; Pemahaman</t>
        </is>
      </c>
      <c r="G380" s="62" t="inlineStr">
        <is>
          <t>Tindak pengendalian terhadap seluruh risiko operasional unit kerja telah diimplementasikan</t>
        </is>
      </c>
      <c r="H380" s="62" t="inlineStr">
        <is>
          <t>Tindak pengendalian terhadap seluruh risiko operasional unit kerja telah diimplementasikan</t>
        </is>
      </c>
      <c r="I380" s="28" t="n">
        <v>1</v>
      </c>
      <c r="J380" s="62" t="inlineStr">
        <is>
          <t>Laporan Pelaksanaan RTP Risiko Operasional Unit Kerja</t>
        </is>
      </c>
      <c r="K380" s="78" t="inlineStr"/>
      <c r="L380" s="29" t="n"/>
      <c r="M380" s="10" t="n"/>
      <c r="N380" s="29" t="n"/>
      <c r="O380" s="29" t="n"/>
      <c r="P380" s="29" t="n"/>
      <c r="Q380" s="10" t="n"/>
      <c r="R380" s="30">
        <f>IF(OR(L380="",L380="N/A"),"",IF(L380="Tidak Ada",0,IF(P380="","",IF(P380="Tidak Sesuai",0,IF(AND(N380="Ya",O380="Ya",P380="Sesuai"),1,0.5)))))</f>
        <v/>
      </c>
      <c r="S380" s="30">
        <f>IF(L380="N/A","N/A",IF(R380="","Belum dinilai",IF(R380=1,"Memenuhi",IF(R380=0,"Tidak Memenuhi","Memenuhi Sebagian"))))</f>
        <v/>
      </c>
      <c r="T380" s="31" t="inlineStr">
        <is>
          <t>2.2-4</t>
        </is>
      </c>
      <c r="U380" s="63">
        <f>IF(COUNT(R380:R380)=0,"",SUM(R380:R380)/COUNT(R380:R380))</f>
        <v/>
      </c>
    </row>
    <row r="381" ht="75" customHeight="1">
      <c r="A381" s="79" t="n"/>
      <c r="B381" s="79" t="n"/>
      <c r="C381" s="79" t="n"/>
      <c r="D381" s="79" t="n"/>
      <c r="E381" s="35" t="inlineStr">
        <is>
          <t>E</t>
        </is>
      </c>
      <c r="F381" s="62" t="inlineStr">
        <is>
          <t>E – Kebijakan/Formalitas</t>
        </is>
      </c>
      <c r="G381" s="62" t="inlineStr">
        <is>
          <t>Tindak pengendalian terhadap sebagian risiko operasional unit kerja telah diimplementasikan</t>
        </is>
      </c>
      <c r="H381" s="62" t="inlineStr">
        <is>
          <t>Organisasi telah memiliki/menetapkan tindak pengendalian terhadap sebagian risiko operasional unit kerja telah diimplementasikan</t>
        </is>
      </c>
      <c r="I381" s="28" t="n">
        <v>1</v>
      </c>
      <c r="J381" s="62" t="inlineStr">
        <is>
          <t>Laporan Pelaksanaan RTP Risiko Operasional Unit Kerja</t>
        </is>
      </c>
      <c r="K381" s="78" t="inlineStr"/>
      <c r="L381" s="29" t="n"/>
      <c r="M381" s="10" t="n"/>
      <c r="N381" s="29" t="n"/>
      <c r="O381" s="29" t="n"/>
      <c r="P381" s="29" t="n"/>
      <c r="Q381" s="10" t="n"/>
      <c r="R381" s="30">
        <f>IF(OR(L381="",L381="N/A"),"",IF(L381="Tidak Ada",0,IF(P381="","",IF(P381="Tidak Sesuai",0,IF(AND(N381="Ya",O381="Ya",P381="Sesuai"),1,0.5)))))</f>
        <v/>
      </c>
      <c r="S381" s="30">
        <f>IF(L381="N/A","N/A",IF(R381="","Belum dinilai",IF(R381=1,"Memenuhi",IF(R381=0,"Tidak Memenuhi","Memenuhi Sebagian"))))</f>
        <v/>
      </c>
      <c r="T381" s="31" t="inlineStr">
        <is>
          <t>2.2-4</t>
        </is>
      </c>
      <c r="U381" s="63">
        <f>IF(COUNT(R381:R381)=0,"",SUM(R381:R381)/COUNT(R381:R381))</f>
        <v/>
      </c>
    </row>
    <row r="382" ht="27" customHeight="1">
      <c r="A382" s="56" t="inlineStr">
        <is>
          <t>2.2</t>
        </is>
      </c>
      <c r="B382" s="57" t="inlineStr">
        <is>
          <t>Analisis Risiko</t>
        </is>
      </c>
      <c r="C382" s="58" t="n">
        <v>5</v>
      </c>
      <c r="D382" s="59" t="inlineStr">
        <is>
          <t>Tindak pengendalian efektif menurunkan risiko</t>
        </is>
      </c>
      <c r="E382" s="21" t="inlineStr">
        <is>
          <t>A</t>
        </is>
      </c>
      <c r="F382" s="60" t="inlineStr">
        <is>
          <t>A – Perbaikan Berkelanjutan</t>
        </is>
      </c>
      <c r="G382" s="60" t="inlineStr">
        <is>
          <t>Tindak pengendalian telah efektif menurunkan risiko operasional unit kerja, strategis unit kerja, dan strategis K/L/D</t>
        </is>
      </c>
      <c r="H382" s="60" t="inlineStr">
        <is>
          <t>Tindak pengendalian telah efektif menurunkan risiko operasional unit kerja, strategis unit kerja, dan strategis K/L/D</t>
        </is>
      </c>
      <c r="I382" s="22" t="n">
        <v>1</v>
      </c>
      <c r="J382" s="60" t="inlineStr">
        <is>
          <t>Laporan Evaluasi Efektivitas Pengendalian</t>
        </is>
      </c>
      <c r="K382" s="76" t="inlineStr"/>
      <c r="L382" s="23" t="n"/>
      <c r="M382" s="24" t="n"/>
      <c r="N382" s="23" t="n"/>
      <c r="O382" s="23" t="n"/>
      <c r="P382" s="23" t="n"/>
      <c r="Q382" s="24" t="n"/>
      <c r="R382" s="25">
        <f>IF(OR(L382="",L382="N/A"),"",IF(L382="Tidak Ada",0,IF(P382="","",IF(P382="Tidak Sesuai",0,IF(AND(N382="Ya",O382="Ya",P382="Sesuai"),1,0.5)))))</f>
        <v/>
      </c>
      <c r="S382" s="25">
        <f>IF(L382="N/A","N/A",IF(R382="","Belum dinilai",IF(R382=1,"Memenuhi",IF(R382=0,"Tidak Memenuhi","Memenuhi Sebagian"))))</f>
        <v/>
      </c>
      <c r="T382" s="26" t="inlineStr">
        <is>
          <t>2.2-5</t>
        </is>
      </c>
      <c r="U382" s="61">
        <f>IF(COUNT(R382:R384)=0,"",SUM(R382:R384)/COUNT(R382:R384))</f>
        <v/>
      </c>
    </row>
    <row r="383" ht="27" customHeight="1">
      <c r="A383" s="77" t="n"/>
      <c r="B383" s="77" t="n"/>
      <c r="C383" s="77" t="n"/>
      <c r="D383" s="77" t="n"/>
      <c r="E383" s="27" t="inlineStr">
        <is>
          <t>A</t>
        </is>
      </c>
      <c r="F383" s="77" t="n"/>
      <c r="G383" s="77" t="n"/>
      <c r="H383" s="77" t="n"/>
      <c r="I383" s="28" t="n">
        <v>2</v>
      </c>
      <c r="J383" s="62" t="inlineStr">
        <is>
          <t>Risk Register Setelah Pengendalian</t>
        </is>
      </c>
      <c r="K383" s="78" t="inlineStr"/>
      <c r="L383" s="29" t="n"/>
      <c r="M383" s="10" t="n"/>
      <c r="N383" s="29" t="n"/>
      <c r="O383" s="29" t="n"/>
      <c r="P383" s="29" t="n"/>
      <c r="Q383" s="10" t="n"/>
      <c r="R383" s="30">
        <f>IF(OR(L383="",L383="N/A"),"",IF(L383="Tidak Ada",0,IF(P383="","",IF(P383="Tidak Sesuai",0,IF(AND(N383="Ya",O383="Ya",P383="Sesuai"),1,0.5)))))</f>
        <v/>
      </c>
      <c r="S383" s="30">
        <f>IF(L383="N/A","N/A",IF(R383="","Belum dinilai",IF(R383=1,"Memenuhi",IF(R383=0,"Tidak Memenuhi","Memenuhi Sebagian"))))</f>
        <v/>
      </c>
      <c r="T383" s="31" t="inlineStr">
        <is>
          <t>2.2-5</t>
        </is>
      </c>
      <c r="U383" s="77" t="n"/>
    </row>
    <row r="384" ht="27" customHeight="1">
      <c r="A384" s="77" t="n"/>
      <c r="B384" s="77" t="n"/>
      <c r="C384" s="77" t="n"/>
      <c r="D384" s="77" t="n"/>
      <c r="E384" s="27" t="inlineStr">
        <is>
          <t>A</t>
        </is>
      </c>
      <c r="F384" s="79" t="n"/>
      <c r="G384" s="79" t="n"/>
      <c r="H384" s="79" t="n"/>
      <c r="I384" s="28" t="n">
        <v>3</v>
      </c>
      <c r="J384" s="62" t="inlineStr">
        <is>
          <t>Analisis Penurunan Tingkat Risiko</t>
        </is>
      </c>
      <c r="K384" s="78" t="inlineStr"/>
      <c r="L384" s="29" t="n"/>
      <c r="M384" s="10" t="n"/>
      <c r="N384" s="29" t="n"/>
      <c r="O384" s="29" t="n"/>
      <c r="P384" s="29" t="n"/>
      <c r="Q384" s="10" t="n"/>
      <c r="R384" s="30">
        <f>IF(OR(L384="",L384="N/A"),"",IF(L384="Tidak Ada",0,IF(P384="","",IF(P384="Tidak Sesuai",0,IF(AND(N384="Ya",O384="Ya",P384="Sesuai"),1,0.5)))))</f>
        <v/>
      </c>
      <c r="S384" s="30">
        <f>IF(L384="N/A","N/A",IF(R384="","Belum dinilai",IF(R384=1,"Memenuhi",IF(R384=0,"Tidak Memenuhi","Memenuhi Sebagian"))))</f>
        <v/>
      </c>
      <c r="T384" s="31" t="inlineStr">
        <is>
          <t>2.2-5</t>
        </is>
      </c>
      <c r="U384" s="79" t="n"/>
    </row>
    <row r="385" ht="27" customHeight="1">
      <c r="A385" s="77" t="n"/>
      <c r="B385" s="77" t="n"/>
      <c r="C385" s="77" t="n"/>
      <c r="D385" s="77" t="n"/>
      <c r="E385" s="32" t="inlineStr">
        <is>
          <t>B</t>
        </is>
      </c>
      <c r="F385" s="62" t="inlineStr">
        <is>
          <t>B – Evaluasi &amp; Tindak Lanjut</t>
        </is>
      </c>
      <c r="G385" s="62" t="inlineStr">
        <is>
          <t>Tindak pengendalian telah efektif menurunkan risiko operasional unit kerja dan strategis unit kerja</t>
        </is>
      </c>
      <c r="H385" s="62" t="inlineStr">
        <is>
          <t>Tindak pengendalian telah efektif menurunkan risiko operasional unit kerja dan strategis unit kerja</t>
        </is>
      </c>
      <c r="I385" s="28" t="n">
        <v>1</v>
      </c>
      <c r="J385" s="62" t="inlineStr">
        <is>
          <t>Laporan Evaluasi Efektivitas Pengendalian</t>
        </is>
      </c>
      <c r="K385" s="78" t="inlineStr"/>
      <c r="L385" s="29" t="n"/>
      <c r="M385" s="10" t="n"/>
      <c r="N385" s="29" t="n"/>
      <c r="O385" s="29" t="n"/>
      <c r="P385" s="29" t="n"/>
      <c r="Q385" s="10" t="n"/>
      <c r="R385" s="30">
        <f>IF(OR(L385="",L385="N/A"),"",IF(L385="Tidak Ada",0,IF(P385="","",IF(P385="Tidak Sesuai",0,IF(AND(N385="Ya",O385="Ya",P385="Sesuai"),1,0.5)))))</f>
        <v/>
      </c>
      <c r="S385" s="30">
        <f>IF(L385="N/A","N/A",IF(R385="","Belum dinilai",IF(R385=1,"Memenuhi",IF(R385=0,"Tidak Memenuhi","Memenuhi Sebagian"))))</f>
        <v/>
      </c>
      <c r="T385" s="31" t="inlineStr">
        <is>
          <t>2.2-5</t>
        </is>
      </c>
      <c r="U385" s="63">
        <f>IF(COUNT(R385:R387)=0,"",SUM(R385:R387)/COUNT(R385:R387))</f>
        <v/>
      </c>
    </row>
    <row r="386" ht="27" customHeight="1">
      <c r="A386" s="77" t="n"/>
      <c r="B386" s="77" t="n"/>
      <c r="C386" s="77" t="n"/>
      <c r="D386" s="77" t="n"/>
      <c r="E386" s="32" t="inlineStr">
        <is>
          <t>B</t>
        </is>
      </c>
      <c r="F386" s="77" t="n"/>
      <c r="G386" s="77" t="n"/>
      <c r="H386" s="77" t="n"/>
      <c r="I386" s="28" t="n">
        <v>2</v>
      </c>
      <c r="J386" s="62" t="inlineStr">
        <is>
          <t>Risk Register Setelah Pengendalian</t>
        </is>
      </c>
      <c r="K386" s="78" t="inlineStr"/>
      <c r="L386" s="29" t="n"/>
      <c r="M386" s="10" t="n"/>
      <c r="N386" s="29" t="n"/>
      <c r="O386" s="29" t="n"/>
      <c r="P386" s="29" t="n"/>
      <c r="Q386" s="10" t="n"/>
      <c r="R386" s="30">
        <f>IF(OR(L386="",L386="N/A"),"",IF(L386="Tidak Ada",0,IF(P386="","",IF(P386="Tidak Sesuai",0,IF(AND(N386="Ya",O386="Ya",P386="Sesuai"),1,0.5)))))</f>
        <v/>
      </c>
      <c r="S386" s="30">
        <f>IF(L386="N/A","N/A",IF(R386="","Belum dinilai",IF(R386=1,"Memenuhi",IF(R386=0,"Tidak Memenuhi","Memenuhi Sebagian"))))</f>
        <v/>
      </c>
      <c r="T386" s="31" t="inlineStr">
        <is>
          <t>2.2-5</t>
        </is>
      </c>
      <c r="U386" s="77" t="n"/>
    </row>
    <row r="387" ht="27" customHeight="1">
      <c r="A387" s="77" t="n"/>
      <c r="B387" s="77" t="n"/>
      <c r="C387" s="77" t="n"/>
      <c r="D387" s="77" t="n"/>
      <c r="E387" s="32" t="inlineStr">
        <is>
          <t>B</t>
        </is>
      </c>
      <c r="F387" s="79" t="n"/>
      <c r="G387" s="79" t="n"/>
      <c r="H387" s="79" t="n"/>
      <c r="I387" s="28" t="n">
        <v>3</v>
      </c>
      <c r="J387" s="62" t="inlineStr">
        <is>
          <t>Analisis Penurunan Risiko Operasional dan Strategis Unit Kerja</t>
        </is>
      </c>
      <c r="K387" s="78" t="inlineStr"/>
      <c r="L387" s="29" t="n"/>
      <c r="M387" s="10" t="n"/>
      <c r="N387" s="29" t="n"/>
      <c r="O387" s="29" t="n"/>
      <c r="P387" s="29" t="n"/>
      <c r="Q387" s="10" t="n"/>
      <c r="R387" s="30">
        <f>IF(OR(L387="",L387="N/A"),"",IF(L387="Tidak Ada",0,IF(P387="","",IF(P387="Tidak Sesuai",0,IF(AND(N387="Ya",O387="Ya",P387="Sesuai"),1,0.5)))))</f>
        <v/>
      </c>
      <c r="S387" s="30">
        <f>IF(L387="N/A","N/A",IF(R387="","Belum dinilai",IF(R387=1,"Memenuhi",IF(R387=0,"Tidak Memenuhi","Memenuhi Sebagian"))))</f>
        <v/>
      </c>
      <c r="T387" s="31" t="inlineStr">
        <is>
          <t>2.2-5</t>
        </is>
      </c>
      <c r="U387" s="79" t="n"/>
    </row>
    <row r="388" ht="27" customHeight="1">
      <c r="A388" s="77" t="n"/>
      <c r="B388" s="77" t="n"/>
      <c r="C388" s="77" t="n"/>
      <c r="D388" s="77" t="n"/>
      <c r="E388" s="33" t="inlineStr">
        <is>
          <t>C</t>
        </is>
      </c>
      <c r="F388" s="62" t="inlineStr">
        <is>
          <t>C – Implementasi</t>
        </is>
      </c>
      <c r="G388" s="62" t="inlineStr">
        <is>
          <t>Tindak pengendalian efektif menurunkan seluruh risiko operasional unit kerja dan sebagian risiko strategis unit kerja</t>
        </is>
      </c>
      <c r="H388" s="62" t="inlineStr">
        <is>
          <t>Tindak pengendalian efektif menurunkan seluruh risiko operasional unit kerja dan sebagian risiko strategis unit kerja</t>
        </is>
      </c>
      <c r="I388" s="28" t="n">
        <v>1</v>
      </c>
      <c r="J388" s="62" t="inlineStr">
        <is>
          <t>Laporan Evaluasi Efektivitas Pengendalian</t>
        </is>
      </c>
      <c r="K388" s="78" t="inlineStr"/>
      <c r="L388" s="29" t="inlineStr">
        <is>
          <t>Ada</t>
        </is>
      </c>
      <c r="M388" s="66" t="inlineStr">
        <is>
          <t>Laporan Pemantauan RTP</t>
        </is>
      </c>
      <c r="N388" s="29" t="inlineStr">
        <is>
          <t>Ya</t>
        </is>
      </c>
      <c r="O388" s="29" t="inlineStr">
        <is>
          <t>Ya</t>
        </is>
      </c>
      <c r="P388" s="29" t="inlineStr">
        <is>
          <t>Sesuai</t>
        </is>
      </c>
      <c r="Q388" s="10" t="n"/>
      <c r="R388" s="30">
        <f>IF(OR(L388="",L388="N/A"),"",IF(L388="Tidak Ada",0,IF(P388="","",IF(P388="Tidak Sesuai",0,IF(AND(N388="Ya",O388="Ya",P388="Sesuai"),1,0.5)))))</f>
        <v/>
      </c>
      <c r="S388" s="30">
        <f>IF(L388="N/A","N/A",IF(R388="","Belum dinilai",IF(R388=1,"Memenuhi",IF(R388=0,"Tidak Memenuhi","Memenuhi Sebagian"))))</f>
        <v/>
      </c>
      <c r="T388" s="31" t="inlineStr">
        <is>
          <t>2.2-5</t>
        </is>
      </c>
      <c r="U388" s="63">
        <f>IF(COUNT(R388:R390)=0,"",SUM(R388:R390)/COUNT(R388:R390))</f>
        <v/>
      </c>
    </row>
    <row r="389" ht="27" customHeight="1">
      <c r="A389" s="77" t="n"/>
      <c r="B389" s="77" t="n"/>
      <c r="C389" s="77" t="n"/>
      <c r="D389" s="77" t="n"/>
      <c r="E389" s="33" t="inlineStr">
        <is>
          <t>C</t>
        </is>
      </c>
      <c r="F389" s="77" t="n"/>
      <c r="G389" s="77" t="n"/>
      <c r="H389" s="77" t="n"/>
      <c r="I389" s="28" t="n">
        <v>2</v>
      </c>
      <c r="J389" s="62" t="inlineStr">
        <is>
          <t>Risk Register Setelah Pengendalian</t>
        </is>
      </c>
      <c r="K389" s="78" t="inlineStr"/>
      <c r="L389" s="29" t="n"/>
      <c r="M389" s="10" t="n"/>
      <c r="N389" s="29" t="n"/>
      <c r="O389" s="29" t="n"/>
      <c r="P389" s="29" t="n"/>
      <c r="Q389" s="10" t="n"/>
      <c r="R389" s="30">
        <f>IF(OR(L389="",L389="N/A"),"",IF(L389="Tidak Ada",0,IF(P389="","",IF(P389="Tidak Sesuai",0,IF(AND(N389="Ya",O389="Ya",P389="Sesuai"),1,0.5)))))</f>
        <v/>
      </c>
      <c r="S389" s="30">
        <f>IF(L389="N/A","N/A",IF(R389="","Belum dinilai",IF(R389=1,"Memenuhi",IF(R389=0,"Tidak Memenuhi","Memenuhi Sebagian"))))</f>
        <v/>
      </c>
      <c r="T389" s="31" t="inlineStr">
        <is>
          <t>2.2-5</t>
        </is>
      </c>
      <c r="U389" s="77" t="n"/>
    </row>
    <row r="390" ht="39" customHeight="1">
      <c r="A390" s="77" t="n"/>
      <c r="B390" s="77" t="n"/>
      <c r="C390" s="77" t="n"/>
      <c r="D390" s="77" t="n"/>
      <c r="E390" s="33" t="inlineStr">
        <is>
          <t>C</t>
        </is>
      </c>
      <c r="F390" s="79" t="n"/>
      <c r="G390" s="79" t="n"/>
      <c r="H390" s="79" t="n"/>
      <c r="I390" s="28" t="n">
        <v>3</v>
      </c>
      <c r="J390" s="62" t="inlineStr">
        <is>
          <t>Analisis Penurunan Risiko Operasional dan Sebagian Risiko Strategis Unit Kerja</t>
        </is>
      </c>
      <c r="K390" s="78" t="inlineStr"/>
      <c r="L390" s="29" t="n"/>
      <c r="M390" s="10" t="n"/>
      <c r="N390" s="29" t="n"/>
      <c r="O390" s="29" t="n"/>
      <c r="P390" s="29" t="n"/>
      <c r="Q390" s="10" t="n"/>
      <c r="R390" s="30">
        <f>IF(OR(L390="",L390="N/A"),"",IF(L390="Tidak Ada",0,IF(P390="","",IF(P390="Tidak Sesuai",0,IF(AND(N390="Ya",O390="Ya",P390="Sesuai"),1,0.5)))))</f>
        <v/>
      </c>
      <c r="S390" s="30">
        <f>IF(L390="N/A","N/A",IF(R390="","Belum dinilai",IF(R390=1,"Memenuhi",IF(R390=0,"Tidak Memenuhi","Memenuhi Sebagian"))))</f>
        <v/>
      </c>
      <c r="T390" s="31" t="inlineStr">
        <is>
          <t>2.2-5</t>
        </is>
      </c>
      <c r="U390" s="79" t="n"/>
    </row>
    <row r="391" ht="27" customHeight="1">
      <c r="A391" s="77" t="n"/>
      <c r="B391" s="77" t="n"/>
      <c r="C391" s="77" t="n"/>
      <c r="D391" s="77" t="n"/>
      <c r="E391" s="34" t="inlineStr">
        <is>
          <t>D</t>
        </is>
      </c>
      <c r="F391" s="62" t="inlineStr">
        <is>
          <t>D – Komunikasi &amp; Pemahaman</t>
        </is>
      </c>
      <c r="G391" s="62" t="inlineStr">
        <is>
          <t>Tindak pengendalian efektif menurunkan seluruh risiko operasional unit kerja</t>
        </is>
      </c>
      <c r="H391" s="62" t="inlineStr">
        <is>
          <t>Tindak pengendalian efektif menurunkan seluruh risiko operasional unit kerja</t>
        </is>
      </c>
      <c r="I391" s="28" t="n">
        <v>1</v>
      </c>
      <c r="J391" s="62" t="inlineStr">
        <is>
          <t>Laporan Evaluasi Efektivitas Pengendalian</t>
        </is>
      </c>
      <c r="K391" s="78" t="inlineStr"/>
      <c r="L391" s="29" t="n"/>
      <c r="M391" s="10" t="n"/>
      <c r="N391" s="29" t="n"/>
      <c r="O391" s="29" t="n"/>
      <c r="P391" s="29" t="n"/>
      <c r="Q391" s="10" t="n"/>
      <c r="R391" s="30">
        <f>IF(OR(L391="",L391="N/A"),"",IF(L391="Tidak Ada",0,IF(P391="","",IF(P391="Tidak Sesuai",0,IF(AND(N391="Ya",O391="Ya",P391="Sesuai"),1,0.5)))))</f>
        <v/>
      </c>
      <c r="S391" s="30">
        <f>IF(L391="N/A","N/A",IF(R391="","Belum dinilai",IF(R391=1,"Memenuhi",IF(R391=0,"Tidak Memenuhi","Memenuhi Sebagian"))))</f>
        <v/>
      </c>
      <c r="T391" s="31" t="inlineStr">
        <is>
          <t>2.2-5</t>
        </is>
      </c>
      <c r="U391" s="63">
        <f>IF(COUNT(R391:R392)=0,"",SUM(R391:R392)/COUNT(R391:R392))</f>
        <v/>
      </c>
    </row>
    <row r="392" ht="27" customHeight="1">
      <c r="A392" s="77" t="n"/>
      <c r="B392" s="77" t="n"/>
      <c r="C392" s="77" t="n"/>
      <c r="D392" s="77" t="n"/>
      <c r="E392" s="34" t="inlineStr">
        <is>
          <t>D</t>
        </is>
      </c>
      <c r="F392" s="79" t="n"/>
      <c r="G392" s="79" t="n"/>
      <c r="H392" s="79" t="n"/>
      <c r="I392" s="28" t="n">
        <v>2</v>
      </c>
      <c r="J392" s="62" t="inlineStr">
        <is>
          <t>Risk Register Setelah Pengendalian Risiko Operasional Unit Kerja</t>
        </is>
      </c>
      <c r="K392" s="78" t="inlineStr"/>
      <c r="L392" s="29" t="n"/>
      <c r="M392" s="10" t="n"/>
      <c r="N392" s="29" t="n"/>
      <c r="O392" s="29" t="n"/>
      <c r="P392" s="29" t="n"/>
      <c r="Q392" s="10" t="n"/>
      <c r="R392" s="30">
        <f>IF(OR(L392="",L392="N/A"),"",IF(L392="Tidak Ada",0,IF(P392="","",IF(P392="Tidak Sesuai",0,IF(AND(N392="Ya",O392="Ya",P392="Sesuai"),1,0.5)))))</f>
        <v/>
      </c>
      <c r="S392" s="30">
        <f>IF(L392="N/A","N/A",IF(R392="","Belum dinilai",IF(R392=1,"Memenuhi",IF(R392=0,"Tidak Memenuhi","Memenuhi Sebagian"))))</f>
        <v/>
      </c>
      <c r="T392" s="31" t="inlineStr">
        <is>
          <t>2.2-5</t>
        </is>
      </c>
      <c r="U392" s="79" t="n"/>
    </row>
    <row r="393" ht="39" customHeight="1">
      <c r="A393" s="77" t="n"/>
      <c r="B393" s="77" t="n"/>
      <c r="C393" s="77" t="n"/>
      <c r="D393" s="77" t="n"/>
      <c r="E393" s="35" t="inlineStr">
        <is>
          <t>E</t>
        </is>
      </c>
      <c r="F393" s="62" t="inlineStr">
        <is>
          <t>E – Kebijakan/Formalitas</t>
        </is>
      </c>
      <c r="G393" s="62" t="inlineStr">
        <is>
          <t>Tindak pengendalian efektif menurunkan sebagian risiko operasional unit kerja</t>
        </is>
      </c>
      <c r="H393" s="62" t="inlineStr">
        <is>
          <t>Organisasi telah memiliki/menetapkan tindak pengendalian efektif menurunkan sebagian risiko operasional unit kerja</t>
        </is>
      </c>
      <c r="I393" s="28" t="n">
        <v>1</v>
      </c>
      <c r="J393" s="62" t="inlineStr">
        <is>
          <t>Laporan Evaluasi Efektivitas Pengendalian</t>
        </is>
      </c>
      <c r="K393" s="78" t="inlineStr"/>
      <c r="L393" s="29" t="n"/>
      <c r="M393" s="10" t="n"/>
      <c r="N393" s="29" t="n"/>
      <c r="O393" s="29" t="n"/>
      <c r="P393" s="29" t="n"/>
      <c r="Q393" s="10" t="n"/>
      <c r="R393" s="30">
        <f>IF(OR(L393="",L393="N/A"),"",IF(L393="Tidak Ada",0,IF(P393="","",IF(P393="Tidak Sesuai",0,IF(AND(N393="Ya",O393="Ya",P393="Sesuai"),1,0.5)))))</f>
        <v/>
      </c>
      <c r="S393" s="30">
        <f>IF(L393="N/A","N/A",IF(R393="","Belum dinilai",IF(R393=1,"Memenuhi",IF(R393=0,"Tidak Memenuhi","Memenuhi Sebagian"))))</f>
        <v/>
      </c>
      <c r="T393" s="31" t="inlineStr">
        <is>
          <t>2.2-5</t>
        </is>
      </c>
      <c r="U393" s="63">
        <f>IF(COUNT(R393:R394)=0,"",SUM(R393:R394)/COUNT(R393:R394))</f>
        <v/>
      </c>
    </row>
    <row r="394" ht="39" customHeight="1">
      <c r="A394" s="79" t="n"/>
      <c r="B394" s="79" t="n"/>
      <c r="C394" s="79" t="n"/>
      <c r="D394" s="79" t="n"/>
      <c r="E394" s="35" t="inlineStr">
        <is>
          <t>E</t>
        </is>
      </c>
      <c r="F394" s="79" t="n"/>
      <c r="G394" s="79" t="n"/>
      <c r="H394" s="79" t="n"/>
      <c r="I394" s="28" t="n">
        <v>2</v>
      </c>
      <c r="J394" s="62" t="inlineStr">
        <is>
          <t>Risk Register Setelah Pengendalian Risiko Operasional Unit Kerja</t>
        </is>
      </c>
      <c r="K394" s="78" t="inlineStr"/>
      <c r="L394" s="29" t="n"/>
      <c r="M394" s="10" t="n"/>
      <c r="N394" s="29" t="n"/>
      <c r="O394" s="29" t="n"/>
      <c r="P394" s="29" t="n"/>
      <c r="Q394" s="10" t="n"/>
      <c r="R394" s="30">
        <f>IF(OR(L394="",L394="N/A"),"",IF(L394="Tidak Ada",0,IF(P394="","",IF(P394="Tidak Sesuai",0,IF(AND(N394="Ya",O394="Ya",P394="Sesuai"),1,0.5)))))</f>
        <v/>
      </c>
      <c r="S394" s="30">
        <f>IF(L394="N/A","N/A",IF(R394="","Belum dinilai",IF(R394=1,"Memenuhi",IF(R394=0,"Tidak Memenuhi","Memenuhi Sebagian"))))</f>
        <v/>
      </c>
      <c r="T394" s="31" t="inlineStr">
        <is>
          <t>2.2-5</t>
        </is>
      </c>
      <c r="U394" s="79" t="n"/>
    </row>
    <row r="395" ht="15" customHeight="1">
      <c r="A395" s="56" t="inlineStr">
        <is>
          <t>3.1</t>
        </is>
      </c>
      <c r="B395" s="57" t="inlineStr">
        <is>
          <t>Reviu atas Kinerja Instansi Pemerintah</t>
        </is>
      </c>
      <c r="C395" s="58" t="n">
        <v>1</v>
      </c>
      <c r="D395" s="59" t="inlineStr">
        <is>
          <t>Pimpinan K/L/D membandingkan tolok ukur kinerja dengan capaian kinerja secara berkala untuk mengatasi hambatan kinerja, menetapkan strategi perbaikan, dan menilai kinerja suatu unit sampai dengan periode tertentu dalam rangka mengawal pencapaian tujuan organisasi</t>
        </is>
      </c>
      <c r="E395" s="21" t="inlineStr">
        <is>
          <t>A</t>
        </is>
      </c>
      <c r="F395" s="60" t="inlineStr">
        <is>
          <t>A – Perbaikan Berkelanjutan</t>
        </is>
      </c>
      <c r="G395" s="60" t="inlineStr">
        <is>
          <t>Pelaksanaan reviu kinerja mendukung pencapaian kinerja organisasi</t>
        </is>
      </c>
      <c r="H395" s="60" t="inlineStr">
        <is>
          <t>Pelaksanaan reviu kinerja mendukung pencapaian kinerja organisasi</t>
        </is>
      </c>
      <c r="I395" s="22" t="n">
        <v>1</v>
      </c>
      <c r="J395" s="60" t="inlineStr">
        <is>
          <t>Laporan Reviu Kinerja</t>
        </is>
      </c>
      <c r="K395" s="76" t="inlineStr"/>
      <c r="L395" s="23" t="n"/>
      <c r="M395" s="24" t="n"/>
      <c r="N395" s="23" t="n"/>
      <c r="O395" s="23" t="n"/>
      <c r="P395" s="23" t="n"/>
      <c r="Q395" s="24" t="n"/>
      <c r="R395" s="25">
        <f>IF(OR(L395="",L395="N/A"),"",IF(L395="Tidak Ada",0,IF(P395="","",IF(P395="Tidak Sesuai",0,IF(AND(N395="Ya",O395="Ya",P395="Sesuai"),1,0.5)))))</f>
        <v/>
      </c>
      <c r="S395" s="25">
        <f>IF(L395="N/A","N/A",IF(R395="","Belum dinilai",IF(R395=1,"Memenuhi",IF(R395=0,"Tidak Memenuhi","Memenuhi Sebagian"))))</f>
        <v/>
      </c>
      <c r="T395" s="26" t="inlineStr">
        <is>
          <t>3.1-1</t>
        </is>
      </c>
      <c r="U395" s="61">
        <f>IF(COUNT(R395:R398)=0,"",SUM(R395:R398)/COUNT(R395:R398))</f>
        <v/>
      </c>
    </row>
    <row r="396" ht="15" customHeight="1">
      <c r="A396" s="77" t="n"/>
      <c r="B396" s="77" t="n"/>
      <c r="C396" s="77" t="n"/>
      <c r="D396" s="77" t="n"/>
      <c r="E396" s="27" t="inlineStr">
        <is>
          <t>A</t>
        </is>
      </c>
      <c r="F396" s="77" t="n"/>
      <c r="G396" s="77" t="n"/>
      <c r="H396" s="77" t="n"/>
      <c r="I396" s="28" t="n">
        <v>2</v>
      </c>
      <c r="J396" s="62" t="inlineStr">
        <is>
          <t>Notulen Rapat Evaluasi Kinerja</t>
        </is>
      </c>
      <c r="K396" s="78" t="inlineStr"/>
      <c r="L396" s="29" t="n"/>
      <c r="M396" s="10" t="n"/>
      <c r="N396" s="29" t="n"/>
      <c r="O396" s="29" t="n"/>
      <c r="P396" s="29" t="n"/>
      <c r="Q396" s="10" t="n"/>
      <c r="R396" s="30">
        <f>IF(OR(L396="",L396="N/A"),"",IF(L396="Tidak Ada",0,IF(P396="","",IF(P396="Tidak Sesuai",0,IF(AND(N396="Ya",O396="Ya",P396="Sesuai"),1,0.5)))))</f>
        <v/>
      </c>
      <c r="S396" s="30">
        <f>IF(L396="N/A","N/A",IF(R396="","Belum dinilai",IF(R396=1,"Memenuhi",IF(R396=0,"Tidak Memenuhi","Memenuhi Sebagian"))))</f>
        <v/>
      </c>
      <c r="T396" s="31" t="inlineStr">
        <is>
          <t>3.1-1</t>
        </is>
      </c>
      <c r="U396" s="77" t="n"/>
    </row>
    <row r="397" ht="27" customHeight="1">
      <c r="A397" s="77" t="n"/>
      <c r="B397" s="77" t="n"/>
      <c r="C397" s="77" t="n"/>
      <c r="D397" s="77" t="n"/>
      <c r="E397" s="27" t="inlineStr">
        <is>
          <t>A</t>
        </is>
      </c>
      <c r="F397" s="77" t="n"/>
      <c r="G397" s="77" t="n"/>
      <c r="H397" s="77" t="n"/>
      <c r="I397" s="28" t="n">
        <v>3</v>
      </c>
      <c r="J397" s="62" t="inlineStr">
        <is>
          <t>Rencana Tindak Lanjut Perbaikan Kinerja</t>
        </is>
      </c>
      <c r="K397" s="78" t="inlineStr"/>
      <c r="L397" s="29" t="n"/>
      <c r="M397" s="10" t="n"/>
      <c r="N397" s="29" t="n"/>
      <c r="O397" s="29" t="n"/>
      <c r="P397" s="29" t="n"/>
      <c r="Q397" s="10" t="n"/>
      <c r="R397" s="30">
        <f>IF(OR(L397="",L397="N/A"),"",IF(L397="Tidak Ada",0,IF(P397="","",IF(P397="Tidak Sesuai",0,IF(AND(N397="Ya",O397="Ya",P397="Sesuai"),1,0.5)))))</f>
        <v/>
      </c>
      <c r="S397" s="30">
        <f>IF(L397="N/A","N/A",IF(R397="","Belum dinilai",IF(R397=1,"Memenuhi",IF(R397=0,"Tidak Memenuhi","Memenuhi Sebagian"))))</f>
        <v/>
      </c>
      <c r="T397" s="31" t="inlineStr">
        <is>
          <t>3.1-1</t>
        </is>
      </c>
      <c r="U397" s="77" t="n"/>
    </row>
    <row r="398" ht="15" customHeight="1">
      <c r="A398" s="77" t="n"/>
      <c r="B398" s="77" t="n"/>
      <c r="C398" s="77" t="n"/>
      <c r="D398" s="77" t="n"/>
      <c r="E398" s="27" t="inlineStr">
        <is>
          <t>A</t>
        </is>
      </c>
      <c r="F398" s="79" t="n"/>
      <c r="G398" s="79" t="n"/>
      <c r="H398" s="79" t="n"/>
      <c r="I398" s="28" t="n">
        <v>4</v>
      </c>
      <c r="J398" s="62" t="inlineStr">
        <is>
          <t>Laporan Capaian Kinerja</t>
        </is>
      </c>
      <c r="K398" s="78" t="inlineStr"/>
      <c r="L398" s="29" t="n"/>
      <c r="M398" s="10" t="n"/>
      <c r="N398" s="29" t="n"/>
      <c r="O398" s="29" t="n"/>
      <c r="P398" s="29" t="n"/>
      <c r="Q398" s="10" t="n"/>
      <c r="R398" s="30">
        <f>IF(OR(L398="",L398="N/A"),"",IF(L398="Tidak Ada",0,IF(P398="","",IF(P398="Tidak Sesuai",0,IF(AND(N398="Ya",O398="Ya",P398="Sesuai"),1,0.5)))))</f>
        <v/>
      </c>
      <c r="S398" s="30">
        <f>IF(L398="N/A","N/A",IF(R398="","Belum dinilai",IF(R398=1,"Memenuhi",IF(R398=0,"Tidak Memenuhi","Memenuhi Sebagian"))))</f>
        <v/>
      </c>
      <c r="T398" s="31" t="inlineStr">
        <is>
          <t>3.1-1</t>
        </is>
      </c>
      <c r="U398" s="79" t="n"/>
    </row>
    <row r="399" ht="27" customHeight="1">
      <c r="A399" s="77" t="n"/>
      <c r="B399" s="77" t="n"/>
      <c r="C399" s="77" t="n"/>
      <c r="D399" s="77" t="n"/>
      <c r="E399" s="32" t="inlineStr">
        <is>
          <t>B</t>
        </is>
      </c>
      <c r="F399" s="62" t="inlineStr">
        <is>
          <t>B – Evaluasi &amp; Tindak Lanjut</t>
        </is>
      </c>
      <c r="G399" s="62" t="inlineStr">
        <is>
          <t>Kebijakan dan pelaksanaan reviu kinerja organisasi oleh masing-masing jenjang pimpinan telah dievaluasi secara berkala</t>
        </is>
      </c>
      <c r="H399" s="62" t="inlineStr">
        <is>
          <t>Kebijakan dan pelaksanaan reviu kinerja organisasi oleh masing-masing jenjang pimpinan telah dievaluasi secara berkala</t>
        </is>
      </c>
      <c r="I399" s="28" t="n">
        <v>1</v>
      </c>
      <c r="J399" s="62" t="inlineStr">
        <is>
          <t>Laporan Evaluasi Pelaksanaan Reviu Kinerja</t>
        </is>
      </c>
      <c r="K399" s="78" t="inlineStr"/>
      <c r="L399" s="29" t="n"/>
      <c r="M399" s="10" t="n"/>
      <c r="N399" s="29" t="n"/>
      <c r="O399" s="29" t="n"/>
      <c r="P399" s="29" t="n"/>
      <c r="Q399" s="10" t="n"/>
      <c r="R399" s="30">
        <f>IF(OR(L399="",L399="N/A"),"",IF(L399="Tidak Ada",0,IF(P399="","",IF(P399="Tidak Sesuai",0,IF(AND(N399="Ya",O399="Ya",P399="Sesuai"),1,0.5)))))</f>
        <v/>
      </c>
      <c r="S399" s="30">
        <f>IF(L399="N/A","N/A",IF(R399="","Belum dinilai",IF(R399=1,"Memenuhi",IF(R399=0,"Tidak Memenuhi","Memenuhi Sebagian"))))</f>
        <v/>
      </c>
      <c r="T399" s="31" t="inlineStr">
        <is>
          <t>3.1-1</t>
        </is>
      </c>
      <c r="U399" s="63">
        <f>IF(COUNT(R399:R401)=0,"",SUM(R399:R401)/COUNT(R399:R401))</f>
        <v/>
      </c>
    </row>
    <row r="400" ht="27" customHeight="1">
      <c r="A400" s="77" t="n"/>
      <c r="B400" s="77" t="n"/>
      <c r="C400" s="77" t="n"/>
      <c r="D400" s="77" t="n"/>
      <c r="E400" s="32" t="inlineStr">
        <is>
          <t>B</t>
        </is>
      </c>
      <c r="F400" s="77" t="n"/>
      <c r="G400" s="77" t="n"/>
      <c r="H400" s="77" t="n"/>
      <c r="I400" s="28" t="n">
        <v>2</v>
      </c>
      <c r="J400" s="62" t="inlineStr">
        <is>
          <t>Notulen Rapat Evaluasi Kinerja</t>
        </is>
      </c>
      <c r="K400" s="78" t="inlineStr"/>
      <c r="L400" s="29" t="n"/>
      <c r="M400" s="10" t="n"/>
      <c r="N400" s="29" t="n"/>
      <c r="O400" s="29" t="n"/>
      <c r="P400" s="29" t="n"/>
      <c r="Q400" s="10" t="n"/>
      <c r="R400" s="30">
        <f>IF(OR(L400="",L400="N/A"),"",IF(L400="Tidak Ada",0,IF(P400="","",IF(P400="Tidak Sesuai",0,IF(AND(N400="Ya",O400="Ya",P400="Sesuai"),1,0.5)))))</f>
        <v/>
      </c>
      <c r="S400" s="30">
        <f>IF(L400="N/A","N/A",IF(R400="","Belum dinilai",IF(R400=1,"Memenuhi",IF(R400=0,"Tidak Memenuhi","Memenuhi Sebagian"))))</f>
        <v/>
      </c>
      <c r="T400" s="31" t="inlineStr">
        <is>
          <t>3.1-1</t>
        </is>
      </c>
      <c r="U400" s="77" t="n"/>
    </row>
    <row r="401" ht="27" customHeight="1">
      <c r="A401" s="77" t="n"/>
      <c r="B401" s="77" t="n"/>
      <c r="C401" s="77" t="n"/>
      <c r="D401" s="77" t="n"/>
      <c r="E401" s="32" t="inlineStr">
        <is>
          <t>B</t>
        </is>
      </c>
      <c r="F401" s="79" t="n"/>
      <c r="G401" s="79" t="n"/>
      <c r="H401" s="79" t="n"/>
      <c r="I401" s="28" t="n">
        <v>3</v>
      </c>
      <c r="J401" s="62" t="inlineStr">
        <is>
          <t>Matriks Tindak Lanjut Reviu Kinerja</t>
        </is>
      </c>
      <c r="K401" s="78" t="inlineStr"/>
      <c r="L401" s="29" t="n"/>
      <c r="M401" s="10" t="n"/>
      <c r="N401" s="29" t="n"/>
      <c r="O401" s="29" t="n"/>
      <c r="P401" s="29" t="n"/>
      <c r="Q401" s="10" t="n"/>
      <c r="R401" s="30">
        <f>IF(OR(L401="",L401="N/A"),"",IF(L401="Tidak Ada",0,IF(P401="","",IF(P401="Tidak Sesuai",0,IF(AND(N401="Ya",O401="Ya",P401="Sesuai"),1,0.5)))))</f>
        <v/>
      </c>
      <c r="S401" s="30">
        <f>IF(L401="N/A","N/A",IF(R401="","Belum dinilai",IF(R401=1,"Memenuhi",IF(R401=0,"Tidak Memenuhi","Memenuhi Sebagian"))))</f>
        <v/>
      </c>
      <c r="T401" s="31" t="inlineStr">
        <is>
          <t>3.1-1</t>
        </is>
      </c>
      <c r="U401" s="79" t="n"/>
    </row>
    <row r="402" ht="27" customHeight="1">
      <c r="A402" s="77" t="n"/>
      <c r="B402" s="77" t="n"/>
      <c r="C402" s="77" t="n"/>
      <c r="D402" s="77" t="n"/>
      <c r="E402" s="33" t="inlineStr">
        <is>
          <t>C</t>
        </is>
      </c>
      <c r="F402" s="62" t="inlineStr">
        <is>
          <t>C – Implementasi</t>
        </is>
      </c>
      <c r="G402" s="62" t="inlineStr">
        <is>
          <t>Reviu kinerja organisasi dilaksanakan dan didokumentasikan dengan baik untuk dibandingkan pengaruhnya terhadap capaian kinerja periode berikutnya</t>
        </is>
      </c>
      <c r="H402" s="62" t="inlineStr">
        <is>
          <t>Reviu kinerja organisasi dilaksanakan dan didokumentasikan dengan baik untuk dibandingkan pengaruhnya terhadap capaian kinerja periode berikutnya</t>
        </is>
      </c>
      <c r="I402" s="28" t="n">
        <v>1</v>
      </c>
      <c r="J402" s="62" t="inlineStr">
        <is>
          <t>Laporan Reviu Kinerja</t>
        </is>
      </c>
      <c r="K402" s="78" t="inlineStr"/>
      <c r="L402" s="29" t="inlineStr">
        <is>
          <t>Ada</t>
        </is>
      </c>
      <c r="M402" s="66" t="inlineStr">
        <is>
          <t>reviu LKjIP</t>
        </is>
      </c>
      <c r="N402" s="29" t="inlineStr">
        <is>
          <t>Ya</t>
        </is>
      </c>
      <c r="O402" s="29" t="inlineStr">
        <is>
          <t>Ya</t>
        </is>
      </c>
      <c r="P402" s="29" t="inlineStr">
        <is>
          <t>Sesuai</t>
        </is>
      </c>
      <c r="Q402" s="10" t="n"/>
      <c r="R402" s="30">
        <f>IF(OR(L402="",L402="N/A"),"",IF(L402="Tidak Ada",0,IF(P402="","",IF(P402="Tidak Sesuai",0,IF(AND(N402="Ya",O402="Ya",P402="Sesuai"),1,0.5)))))</f>
        <v/>
      </c>
      <c r="S402" s="30">
        <f>IF(L402="N/A","N/A",IF(R402="","Belum dinilai",IF(R402=1,"Memenuhi",IF(R402=0,"Tidak Memenuhi","Memenuhi Sebagian"))))</f>
        <v/>
      </c>
      <c r="T402" s="31" t="inlineStr">
        <is>
          <t>3.1-1</t>
        </is>
      </c>
      <c r="U402" s="63">
        <f>IF(COUNT(R402:R404)=0,"",SUM(R402:R404)/COUNT(R402:R404))</f>
        <v/>
      </c>
    </row>
    <row r="403" ht="27" customHeight="1">
      <c r="A403" s="77" t="n"/>
      <c r="B403" s="77" t="n"/>
      <c r="C403" s="77" t="n"/>
      <c r="D403" s="77" t="n"/>
      <c r="E403" s="33" t="inlineStr">
        <is>
          <t>C</t>
        </is>
      </c>
      <c r="F403" s="77" t="n"/>
      <c r="G403" s="77" t="n"/>
      <c r="H403" s="77" t="n"/>
      <c r="I403" s="28" t="n">
        <v>2</v>
      </c>
      <c r="J403" s="62" t="inlineStr">
        <is>
          <t>Notulen Rapat Evaluasi Kinerja</t>
        </is>
      </c>
      <c r="K403" s="78" t="inlineStr"/>
      <c r="L403" s="29" t="n"/>
      <c r="M403" s="10" t="n"/>
      <c r="N403" s="29" t="n"/>
      <c r="O403" s="29" t="n"/>
      <c r="P403" s="29" t="n"/>
      <c r="Q403" s="10" t="n"/>
      <c r="R403" s="30">
        <f>IF(OR(L403="",L403="N/A"),"",IF(L403="Tidak Ada",0,IF(P403="","",IF(P403="Tidak Sesuai",0,IF(AND(N403="Ya",O403="Ya",P403="Sesuai"),1,0.5)))))</f>
        <v/>
      </c>
      <c r="S403" s="30">
        <f>IF(L403="N/A","N/A",IF(R403="","Belum dinilai",IF(R403=1,"Memenuhi",IF(R403=0,"Tidak Memenuhi","Memenuhi Sebagian"))))</f>
        <v/>
      </c>
      <c r="T403" s="31" t="inlineStr">
        <is>
          <t>3.1-1</t>
        </is>
      </c>
      <c r="U403" s="77" t="n"/>
    </row>
    <row r="404" ht="27" customHeight="1">
      <c r="A404" s="77" t="n"/>
      <c r="B404" s="77" t="n"/>
      <c r="C404" s="77" t="n"/>
      <c r="D404" s="77" t="n"/>
      <c r="E404" s="33" t="inlineStr">
        <is>
          <t>C</t>
        </is>
      </c>
      <c r="F404" s="79" t="n"/>
      <c r="G404" s="79" t="n"/>
      <c r="H404" s="79" t="n"/>
      <c r="I404" s="28" t="n">
        <v>3</v>
      </c>
      <c r="J404" s="62" t="inlineStr">
        <is>
          <t>Matriks Tindak Lanjut/Arahan Pimpinan</t>
        </is>
      </c>
      <c r="K404" s="78" t="inlineStr"/>
      <c r="L404" s="29" t="n"/>
      <c r="M404" s="10" t="n"/>
      <c r="N404" s="29" t="n"/>
      <c r="O404" s="29" t="n"/>
      <c r="P404" s="29" t="n"/>
      <c r="Q404" s="10" t="n"/>
      <c r="R404" s="30">
        <f>IF(OR(L404="",L404="N/A"),"",IF(L404="Tidak Ada",0,IF(P404="","",IF(P404="Tidak Sesuai",0,IF(AND(N404="Ya",O404="Ya",P404="Sesuai"),1,0.5)))))</f>
        <v/>
      </c>
      <c r="S404" s="30">
        <f>IF(L404="N/A","N/A",IF(R404="","Belum dinilai",IF(R404=1,"Memenuhi",IF(R404=0,"Tidak Memenuhi","Memenuhi Sebagian"))))</f>
        <v/>
      </c>
      <c r="T404" s="31" t="inlineStr">
        <is>
          <t>3.1-1</t>
        </is>
      </c>
      <c r="U404" s="79" t="n"/>
    </row>
    <row r="405" ht="27" customHeight="1">
      <c r="A405" s="77" t="n"/>
      <c r="B405" s="77" t="n"/>
      <c r="C405" s="77" t="n"/>
      <c r="D405" s="77" t="n"/>
      <c r="E405" s="34" t="inlineStr">
        <is>
          <t>D</t>
        </is>
      </c>
      <c r="F405" s="62" t="inlineStr">
        <is>
          <t>D – Komunikasi &amp; Pemahaman</t>
        </is>
      </c>
      <c r="G405" s="62" t="inlineStr">
        <is>
          <t>Kewajiban pelaksanaan reviu kinerja diketahui oleh seluruh pimpinan unit dan pegawai</t>
        </is>
      </c>
      <c r="H405" s="62" t="inlineStr">
        <is>
          <t>Kewajiban pelaksanaan reviu kinerja diketahui oleh seluruh pimpinan unit dan pegawai</t>
        </is>
      </c>
      <c r="I405" s="28" t="n">
        <v>1</v>
      </c>
      <c r="J405" s="62" t="inlineStr">
        <is>
          <t>Dokumen/SOP Reviu Kinerja</t>
        </is>
      </c>
      <c r="K405" s="78" t="inlineStr"/>
      <c r="L405" s="29" t="n"/>
      <c r="M405" s="10" t="n"/>
      <c r="N405" s="29" t="n"/>
      <c r="O405" s="29" t="n"/>
      <c r="P405" s="29" t="n"/>
      <c r="Q405" s="10" t="n"/>
      <c r="R405" s="30">
        <f>IF(OR(L405="",L405="N/A"),"",IF(L405="Tidak Ada",0,IF(P405="","",IF(P405="Tidak Sesuai",0,IF(AND(N405="Ya",O405="Ya",P405="Sesuai"),1,0.5)))))</f>
        <v/>
      </c>
      <c r="S405" s="30">
        <f>IF(L405="N/A","N/A",IF(R405="","Belum dinilai",IF(R405=1,"Memenuhi",IF(R405=0,"Tidak Memenuhi","Memenuhi Sebagian"))))</f>
        <v/>
      </c>
      <c r="T405" s="31" t="inlineStr">
        <is>
          <t>3.1-1</t>
        </is>
      </c>
      <c r="U405" s="63">
        <f>IF(COUNT(R405:R407)=0,"",SUM(R405:R407)/COUNT(R405:R407))</f>
        <v/>
      </c>
    </row>
    <row r="406" ht="27" customHeight="1">
      <c r="A406" s="77" t="n"/>
      <c r="B406" s="77" t="n"/>
      <c r="C406" s="77" t="n"/>
      <c r="D406" s="77" t="n"/>
      <c r="E406" s="34" t="inlineStr">
        <is>
          <t>D</t>
        </is>
      </c>
      <c r="F406" s="77" t="n"/>
      <c r="G406" s="77" t="n"/>
      <c r="H406" s="77" t="n"/>
      <c r="I406" s="28" t="n">
        <v>2</v>
      </c>
      <c r="J406" s="62" t="inlineStr">
        <is>
          <t>Target Kinerja/SKP</t>
        </is>
      </c>
      <c r="K406" s="78" t="inlineStr"/>
      <c r="L406" s="29" t="n"/>
      <c r="M406" s="10" t="n"/>
      <c r="N406" s="29" t="n"/>
      <c r="O406" s="29" t="n"/>
      <c r="P406" s="29" t="n"/>
      <c r="Q406" s="10" t="n"/>
      <c r="R406" s="30">
        <f>IF(OR(L406="",L406="N/A"),"",IF(L406="Tidak Ada",0,IF(P406="","",IF(P406="Tidak Sesuai",0,IF(AND(N406="Ya",O406="Ya",P406="Sesuai"),1,0.5)))))</f>
        <v/>
      </c>
      <c r="S406" s="30">
        <f>IF(L406="N/A","N/A",IF(R406="","Belum dinilai",IF(R406=1,"Memenuhi",IF(R406=0,"Tidak Memenuhi","Memenuhi Sebagian"))))</f>
        <v/>
      </c>
      <c r="T406" s="31" t="inlineStr">
        <is>
          <t>3.1-1</t>
        </is>
      </c>
      <c r="U406" s="77" t="n"/>
    </row>
    <row r="407" ht="27" customHeight="1">
      <c r="A407" s="77" t="n"/>
      <c r="B407" s="77" t="n"/>
      <c r="C407" s="77" t="n"/>
      <c r="D407" s="77" t="n"/>
      <c r="E407" s="34" t="inlineStr">
        <is>
          <t>D</t>
        </is>
      </c>
      <c r="F407" s="79" t="n"/>
      <c r="G407" s="79" t="n"/>
      <c r="H407" s="79" t="n"/>
      <c r="I407" s="28" t="n">
        <v>3</v>
      </c>
      <c r="J407" s="62" t="inlineStr">
        <is>
          <t>Notulen Sosialisasi atau Rapat Reviu Kinerja</t>
        </is>
      </c>
      <c r="K407" s="78" t="inlineStr"/>
      <c r="L407" s="29" t="n"/>
      <c r="M407" s="10" t="n"/>
      <c r="N407" s="29" t="n"/>
      <c r="O407" s="29" t="n"/>
      <c r="P407" s="29" t="n"/>
      <c r="Q407" s="10" t="n"/>
      <c r="R407" s="30">
        <f>IF(OR(L407="",L407="N/A"),"",IF(L407="Tidak Ada",0,IF(P407="","",IF(P407="Tidak Sesuai",0,IF(AND(N407="Ya",O407="Ya",P407="Sesuai"),1,0.5)))))</f>
        <v/>
      </c>
      <c r="S407" s="30">
        <f>IF(L407="N/A","N/A",IF(R407="","Belum dinilai",IF(R407=1,"Memenuhi",IF(R407=0,"Tidak Memenuhi","Memenuhi Sebagian"))))</f>
        <v/>
      </c>
      <c r="T407" s="31" t="inlineStr">
        <is>
          <t>3.1-1</t>
        </is>
      </c>
      <c r="U407" s="79" t="n"/>
    </row>
    <row r="408" ht="39" customHeight="1">
      <c r="A408" s="77" t="n"/>
      <c r="B408" s="77" t="n"/>
      <c r="C408" s="77" t="n"/>
      <c r="D408" s="77" t="n"/>
      <c r="E408" s="35" t="inlineStr">
        <is>
          <t>E</t>
        </is>
      </c>
      <c r="F408" s="62" t="inlineStr">
        <is>
          <t>E – Kebijakan/Formalitas</t>
        </is>
      </c>
      <c r="G408" s="62" t="inlineStr">
        <is>
          <t>Pimpinan organisasi dan jajaran di bawahnya secara berjenjang memiliki tanggungjawab/kewajiban untuk melaksanakan reviu kinerja secara berkala</t>
        </is>
      </c>
      <c r="H408" s="62" t="inlineStr">
        <is>
          <t>Pimpinan organisasi dan jajaran di bawahnya secara berjenjang memiliki tanggungjawab/kewajiban untuk melaksanakan reviu kinerja secara berkala</t>
        </is>
      </c>
      <c r="I408" s="28" t="n">
        <v>1</v>
      </c>
      <c r="J408" s="62" t="inlineStr">
        <is>
          <t>SOP/Pedoman Reviu Kinerja</t>
        </is>
      </c>
      <c r="K408" s="78" t="inlineStr"/>
      <c r="L408" s="29" t="n"/>
      <c r="M408" s="10" t="n"/>
      <c r="N408" s="29" t="n"/>
      <c r="O408" s="29" t="n"/>
      <c r="P408" s="29" t="n"/>
      <c r="Q408" s="10" t="n"/>
      <c r="R408" s="30">
        <f>IF(OR(L408="",L408="N/A"),"",IF(L408="Tidak Ada",0,IF(P408="","",IF(P408="Tidak Sesuai",0,IF(AND(N408="Ya",O408="Ya",P408="Sesuai"),1,0.5)))))</f>
        <v/>
      </c>
      <c r="S408" s="30">
        <f>IF(L408="N/A","N/A",IF(R408="","Belum dinilai",IF(R408=1,"Memenuhi",IF(R408=0,"Tidak Memenuhi","Memenuhi Sebagian"))))</f>
        <v/>
      </c>
      <c r="T408" s="31" t="inlineStr">
        <is>
          <t>3.1-1</t>
        </is>
      </c>
      <c r="U408" s="63">
        <f>IF(COUNT(R408:R409)=0,"",SUM(R408:R409)/COUNT(R408:R409))</f>
        <v/>
      </c>
    </row>
    <row r="409" ht="39" customHeight="1">
      <c r="A409" s="79" t="n"/>
      <c r="B409" s="79" t="n"/>
      <c r="C409" s="79" t="n"/>
      <c r="D409" s="79" t="n"/>
      <c r="E409" s="35" t="inlineStr">
        <is>
          <t>E</t>
        </is>
      </c>
      <c r="F409" s="79" t="n"/>
      <c r="G409" s="79" t="n"/>
      <c r="H409" s="79" t="n"/>
      <c r="I409" s="28" t="n">
        <v>2</v>
      </c>
      <c r="J409" s="62" t="inlineStr">
        <is>
          <t>SK/Surat Edaran Kewajiban Reviu Kinerja</t>
        </is>
      </c>
      <c r="K409" s="78" t="inlineStr"/>
      <c r="L409" s="29" t="n"/>
      <c r="M409" s="10" t="n"/>
      <c r="N409" s="29" t="n"/>
      <c r="O409" s="29" t="n"/>
      <c r="P409" s="29" t="n"/>
      <c r="Q409" s="10" t="n"/>
      <c r="R409" s="30">
        <f>IF(OR(L409="",L409="N/A"),"",IF(L409="Tidak Ada",0,IF(P409="","",IF(P409="Tidak Sesuai",0,IF(AND(N409="Ya",O409="Ya",P409="Sesuai"),1,0.5)))))</f>
        <v/>
      </c>
      <c r="S409" s="30">
        <f>IF(L409="N/A","N/A",IF(R409="","Belum dinilai",IF(R409=1,"Memenuhi",IF(R409=0,"Tidak Memenuhi","Memenuhi Sebagian"))))</f>
        <v/>
      </c>
      <c r="T409" s="31" t="inlineStr">
        <is>
          <t>3.1-1</t>
        </is>
      </c>
      <c r="U409" s="79" t="n"/>
    </row>
    <row r="410" ht="27" customHeight="1">
      <c r="A410" s="56" t="inlineStr">
        <is>
          <t>3.2</t>
        </is>
      </c>
      <c r="B410" s="57" t="inlineStr">
        <is>
          <t>Pembinaan SDM</t>
        </is>
      </c>
      <c r="C410" s="58" t="n">
        <v>1</v>
      </c>
      <c r="D410" s="59" t="inlineStr">
        <is>
          <t>Pembinaan SDM dilakukan sesuai peraturan perundangan yang berlaku sehingga setiap pegawai dapat memberikan manfaat optimal dalam pencapaian tujuan organisasi</t>
        </is>
      </c>
      <c r="E410" s="21" t="inlineStr">
        <is>
          <t>A</t>
        </is>
      </c>
      <c r="F410" s="60" t="inlineStr">
        <is>
          <t>A – Perbaikan Berkelanjutan</t>
        </is>
      </c>
      <c r="G410" s="60" t="inlineStr">
        <is>
          <t>Pembinaan SDM organisasi telah diperbaiki secara berkelanjutan dan secara optimal mampu mendukung pencapaian tujuan organisasi</t>
        </is>
      </c>
      <c r="H410" s="60" t="inlineStr">
        <is>
          <t>Pembinaan SDM organisasi telah diperbaiki secara berkelanjutan dan secara optimal mampu mendukung pencapaian tujuan organisasi</t>
        </is>
      </c>
      <c r="I410" s="22" t="n">
        <v>1</v>
      </c>
      <c r="J410" s="60" t="inlineStr">
        <is>
          <t>Laporan Evaluasi Pembinaan SDM</t>
        </is>
      </c>
      <c r="K410" s="76" t="inlineStr"/>
      <c r="L410" s="23" t="n"/>
      <c r="M410" s="24" t="n"/>
      <c r="N410" s="23" t="n"/>
      <c r="O410" s="23" t="n"/>
      <c r="P410" s="23" t="n"/>
      <c r="Q410" s="24" t="n"/>
      <c r="R410" s="25">
        <f>IF(OR(L410="",L410="N/A"),"",IF(L410="Tidak Ada",0,IF(P410="","",IF(P410="Tidak Sesuai",0,IF(AND(N410="Ya",O410="Ya",P410="Sesuai"),1,0.5)))))</f>
        <v/>
      </c>
      <c r="S410" s="25">
        <f>IF(L410="N/A","N/A",IF(R410="","Belum dinilai",IF(R410=1,"Memenuhi",IF(R410=0,"Tidak Memenuhi","Memenuhi Sebagian"))))</f>
        <v/>
      </c>
      <c r="T410" s="26" t="inlineStr">
        <is>
          <t>3.2-1</t>
        </is>
      </c>
      <c r="U410" s="61">
        <f>IF(COUNT(R410:R413)=0,"",SUM(R410:R413)/COUNT(R410:R413))</f>
        <v/>
      </c>
    </row>
    <row r="411" ht="27" customHeight="1">
      <c r="A411" s="77" t="n"/>
      <c r="B411" s="77" t="n"/>
      <c r="C411" s="77" t="n"/>
      <c r="D411" s="77" t="n"/>
      <c r="E411" s="27" t="inlineStr">
        <is>
          <t>A</t>
        </is>
      </c>
      <c r="F411" s="77" t="n"/>
      <c r="G411" s="77" t="n"/>
      <c r="H411" s="77" t="n"/>
      <c r="I411" s="28" t="n">
        <v>2</v>
      </c>
      <c r="J411" s="62" t="inlineStr">
        <is>
          <t>Rencana Tindak Lanjut Pengembangan SDM</t>
        </is>
      </c>
      <c r="K411" s="78" t="inlineStr"/>
      <c r="L411" s="29" t="n"/>
      <c r="M411" s="10" t="n"/>
      <c r="N411" s="29" t="n"/>
      <c r="O411" s="29" t="n"/>
      <c r="P411" s="29" t="n"/>
      <c r="Q411" s="10" t="n"/>
      <c r="R411" s="30">
        <f>IF(OR(L411="",L411="N/A"),"",IF(L411="Tidak Ada",0,IF(P411="","",IF(P411="Tidak Sesuai",0,IF(AND(N411="Ya",O411="Ya",P411="Sesuai"),1,0.5)))))</f>
        <v/>
      </c>
      <c r="S411" s="30">
        <f>IF(L411="N/A","N/A",IF(R411="","Belum dinilai",IF(R411=1,"Memenuhi",IF(R411=0,"Tidak Memenuhi","Memenuhi Sebagian"))))</f>
        <v/>
      </c>
      <c r="T411" s="31" t="inlineStr">
        <is>
          <t>3.2-1</t>
        </is>
      </c>
      <c r="U411" s="77" t="n"/>
    </row>
    <row r="412" ht="27" customHeight="1">
      <c r="A412" s="77" t="n"/>
      <c r="B412" s="77" t="n"/>
      <c r="C412" s="77" t="n"/>
      <c r="D412" s="77" t="n"/>
      <c r="E412" s="27" t="inlineStr">
        <is>
          <t>A</t>
        </is>
      </c>
      <c r="F412" s="77" t="n"/>
      <c r="G412" s="77" t="n"/>
      <c r="H412" s="77" t="n"/>
      <c r="I412" s="28" t="n">
        <v>3</v>
      </c>
      <c r="J412" s="62" t="inlineStr">
        <is>
          <t>Bukti Peningkatan Kompetensi</t>
        </is>
      </c>
      <c r="K412" s="78" t="inlineStr"/>
      <c r="L412" s="29" t="n"/>
      <c r="M412" s="10" t="n"/>
      <c r="N412" s="29" t="n"/>
      <c r="O412" s="29" t="n"/>
      <c r="P412" s="29" t="n"/>
      <c r="Q412" s="10" t="n"/>
      <c r="R412" s="30">
        <f>IF(OR(L412="",L412="N/A"),"",IF(L412="Tidak Ada",0,IF(P412="","",IF(P412="Tidak Sesuai",0,IF(AND(N412="Ya",O412="Ya",P412="Sesuai"),1,0.5)))))</f>
        <v/>
      </c>
      <c r="S412" s="30">
        <f>IF(L412="N/A","N/A",IF(R412="","Belum dinilai",IF(R412=1,"Memenuhi",IF(R412=0,"Tidak Memenuhi","Memenuhi Sebagian"))))</f>
        <v/>
      </c>
      <c r="T412" s="31" t="inlineStr">
        <is>
          <t>3.2-1</t>
        </is>
      </c>
      <c r="U412" s="77" t="n"/>
    </row>
    <row r="413" ht="27" customHeight="1">
      <c r="A413" s="77" t="n"/>
      <c r="B413" s="77" t="n"/>
      <c r="C413" s="77" t="n"/>
      <c r="D413" s="77" t="n"/>
      <c r="E413" s="27" t="inlineStr">
        <is>
          <t>A</t>
        </is>
      </c>
      <c r="F413" s="79" t="n"/>
      <c r="G413" s="79" t="n"/>
      <c r="H413" s="79" t="n"/>
      <c r="I413" s="28" t="n">
        <v>4</v>
      </c>
      <c r="J413" s="62" t="inlineStr">
        <is>
          <t>Laporan Kinerja</t>
        </is>
      </c>
      <c r="K413" s="78" t="inlineStr"/>
      <c r="L413" s="29" t="n"/>
      <c r="M413" s="10" t="n"/>
      <c r="N413" s="29" t="n"/>
      <c r="O413" s="29" t="n"/>
      <c r="P413" s="29" t="n"/>
      <c r="Q413" s="10" t="n"/>
      <c r="R413" s="30">
        <f>IF(OR(L413="",L413="N/A"),"",IF(L413="Tidak Ada",0,IF(P413="","",IF(P413="Tidak Sesuai",0,IF(AND(N413="Ya",O413="Ya",P413="Sesuai"),1,0.5)))))</f>
        <v/>
      </c>
      <c r="S413" s="30">
        <f>IF(L413="N/A","N/A",IF(R413="","Belum dinilai",IF(R413=1,"Memenuhi",IF(R413=0,"Tidak Memenuhi","Memenuhi Sebagian"))))</f>
        <v/>
      </c>
      <c r="T413" s="31" t="inlineStr">
        <is>
          <t>3.2-1</t>
        </is>
      </c>
      <c r="U413" s="79" t="n"/>
    </row>
    <row r="414" ht="27" customHeight="1">
      <c r="A414" s="77" t="n"/>
      <c r="B414" s="77" t="n"/>
      <c r="C414" s="77" t="n"/>
      <c r="D414" s="77" t="n"/>
      <c r="E414" s="32" t="inlineStr">
        <is>
          <t>B</t>
        </is>
      </c>
      <c r="F414" s="62" t="inlineStr">
        <is>
          <t>B – Evaluasi &amp; Tindak Lanjut</t>
        </is>
      </c>
      <c r="G414" s="62" t="inlineStr">
        <is>
          <t>Kebijakan dan implementasi terkait pembinaan SDM organisasi telah dievaluasi sehingga dapat diketahui efektivitasnya</t>
        </is>
      </c>
      <c r="H414" s="62" t="inlineStr">
        <is>
          <t>Kebijakan dan implementasi terkait pembinaan SDM organisasi telah dievaluasi sehingga dapat diketahui efektivitasnya</t>
        </is>
      </c>
      <c r="I414" s="28" t="n">
        <v>1</v>
      </c>
      <c r="J414" s="62" t="inlineStr">
        <is>
          <t>Laporan Evaluasi Pembinaan SDM</t>
        </is>
      </c>
      <c r="K414" s="78" t="inlineStr"/>
      <c r="L414" s="29" t="n"/>
      <c r="M414" s="10" t="n"/>
      <c r="N414" s="29" t="n"/>
      <c r="O414" s="29" t="n"/>
      <c r="P414" s="29" t="n"/>
      <c r="Q414" s="10" t="n"/>
      <c r="R414" s="30">
        <f>IF(OR(L414="",L414="N/A"),"",IF(L414="Tidak Ada",0,IF(P414="","",IF(P414="Tidak Sesuai",0,IF(AND(N414="Ya",O414="Ya",P414="Sesuai"),1,0.5)))))</f>
        <v/>
      </c>
      <c r="S414" s="30">
        <f>IF(L414="N/A","N/A",IF(R414="","Belum dinilai",IF(R414=1,"Memenuhi",IF(R414=0,"Tidak Memenuhi","Memenuhi Sebagian"))))</f>
        <v/>
      </c>
      <c r="T414" s="31" t="inlineStr">
        <is>
          <t>3.2-1</t>
        </is>
      </c>
      <c r="U414" s="63">
        <f>IF(COUNT(R414:R416)=0,"",SUM(R414:R416)/COUNT(R414:R416))</f>
        <v/>
      </c>
    </row>
    <row r="415" ht="27" customHeight="1">
      <c r="A415" s="77" t="n"/>
      <c r="B415" s="77" t="n"/>
      <c r="C415" s="77" t="n"/>
      <c r="D415" s="77" t="n"/>
      <c r="E415" s="32" t="inlineStr">
        <is>
          <t>B</t>
        </is>
      </c>
      <c r="F415" s="77" t="n"/>
      <c r="G415" s="77" t="n"/>
      <c r="H415" s="77" t="n"/>
      <c r="I415" s="28" t="n">
        <v>2</v>
      </c>
      <c r="J415" s="62" t="inlineStr">
        <is>
          <t>Hasil Evaluasi Pembinaan SDM</t>
        </is>
      </c>
      <c r="K415" s="78" t="inlineStr"/>
      <c r="L415" s="29" t="n"/>
      <c r="M415" s="10" t="n"/>
      <c r="N415" s="29" t="n"/>
      <c r="O415" s="29" t="n"/>
      <c r="P415" s="29" t="n"/>
      <c r="Q415" s="10" t="n"/>
      <c r="R415" s="30">
        <f>IF(OR(L415="",L415="N/A"),"",IF(L415="Tidak Ada",0,IF(P415="","",IF(P415="Tidak Sesuai",0,IF(AND(N415="Ya",O415="Ya",P415="Sesuai"),1,0.5)))))</f>
        <v/>
      </c>
      <c r="S415" s="30">
        <f>IF(L415="N/A","N/A",IF(R415="","Belum dinilai",IF(R415=1,"Memenuhi",IF(R415=0,"Tidak Memenuhi","Memenuhi Sebagian"))))</f>
        <v/>
      </c>
      <c r="T415" s="31" t="inlineStr">
        <is>
          <t>3.2-1</t>
        </is>
      </c>
      <c r="U415" s="77" t="n"/>
    </row>
    <row r="416" ht="27" customHeight="1">
      <c r="A416" s="77" t="n"/>
      <c r="B416" s="77" t="n"/>
      <c r="C416" s="77" t="n"/>
      <c r="D416" s="77" t="n"/>
      <c r="E416" s="32" t="inlineStr">
        <is>
          <t>B</t>
        </is>
      </c>
      <c r="F416" s="79" t="n"/>
      <c r="G416" s="79" t="n"/>
      <c r="H416" s="79" t="n"/>
      <c r="I416" s="28" t="n">
        <v>3</v>
      </c>
      <c r="J416" s="62" t="inlineStr">
        <is>
          <t>Matriks Tindak Lanjut</t>
        </is>
      </c>
      <c r="K416" s="78" t="inlineStr"/>
      <c r="L416" s="29" t="n"/>
      <c r="M416" s="10" t="n"/>
      <c r="N416" s="29" t="n"/>
      <c r="O416" s="29" t="n"/>
      <c r="P416" s="29" t="n"/>
      <c r="Q416" s="10" t="n"/>
      <c r="R416" s="30">
        <f>IF(OR(L416="",L416="N/A"),"",IF(L416="Tidak Ada",0,IF(P416="","",IF(P416="Tidak Sesuai",0,IF(AND(N416="Ya",O416="Ya",P416="Sesuai"),1,0.5)))))</f>
        <v/>
      </c>
      <c r="S416" s="30">
        <f>IF(L416="N/A","N/A",IF(R416="","Belum dinilai",IF(R416=1,"Memenuhi",IF(R416=0,"Tidak Memenuhi","Memenuhi Sebagian"))))</f>
        <v/>
      </c>
      <c r="T416" s="31" t="inlineStr">
        <is>
          <t>3.2-1</t>
        </is>
      </c>
      <c r="U416" s="79" t="n"/>
    </row>
    <row r="417" ht="27" customHeight="1">
      <c r="A417" s="77" t="n"/>
      <c r="B417" s="77" t="n"/>
      <c r="C417" s="77" t="n"/>
      <c r="D417" s="77" t="n"/>
      <c r="E417" s="33" t="inlineStr">
        <is>
          <t>C</t>
        </is>
      </c>
      <c r="F417" s="62" t="inlineStr">
        <is>
          <t>C – Implementasi</t>
        </is>
      </c>
      <c r="G417" s="62" t="inlineStr">
        <is>
          <t>Pembinaan SDM telah dilaksanakan sesuai kebijakan/prosedur yang ditetapkan organisasi</t>
        </is>
      </c>
      <c r="H417" s="62" t="inlineStr">
        <is>
          <t>Pembinaan SDM telah dilaksanakan sesuai kebijakan/prosedur yang ditetapkan organisasi</t>
        </is>
      </c>
      <c r="I417" s="28" t="n">
        <v>1</v>
      </c>
      <c r="J417" s="62" t="inlineStr">
        <is>
          <t>Dokumen Pelaksanaan Pembinaan SDM</t>
        </is>
      </c>
      <c r="K417" s="78" t="inlineStr"/>
      <c r="L417" s="29" t="n"/>
      <c r="M417" s="10" t="n"/>
      <c r="N417" s="29" t="n"/>
      <c r="O417" s="29" t="n"/>
      <c r="P417" s="29" t="n"/>
      <c r="Q417" s="10" t="n"/>
      <c r="R417" s="30">
        <f>IF(OR(L417="",L417="N/A"),"",IF(L417="Tidak Ada",0,IF(P417="","",IF(P417="Tidak Sesuai",0,IF(AND(N417="Ya",O417="Ya",P417="Sesuai"),1,0.5)))))</f>
        <v/>
      </c>
      <c r="S417" s="30">
        <f>IF(L417="N/A","N/A",IF(R417="","Belum dinilai",IF(R417=1,"Memenuhi",IF(R417=0,"Tidak Memenuhi","Memenuhi Sebagian"))))</f>
        <v/>
      </c>
      <c r="T417" s="31" t="inlineStr">
        <is>
          <t>3.2-1</t>
        </is>
      </c>
      <c r="U417" s="63">
        <f>IF(COUNT(R417:R419)=0,"",SUM(R417:R419)/COUNT(R417:R419))</f>
        <v/>
      </c>
    </row>
    <row r="418" ht="27" customHeight="1">
      <c r="A418" s="77" t="n"/>
      <c r="B418" s="77" t="n"/>
      <c r="C418" s="77" t="n"/>
      <c r="D418" s="77" t="n"/>
      <c r="E418" s="33" t="inlineStr">
        <is>
          <t>C</t>
        </is>
      </c>
      <c r="F418" s="77" t="n"/>
      <c r="G418" s="77" t="n"/>
      <c r="H418" s="77" t="n"/>
      <c r="I418" s="28" t="n">
        <v>2</v>
      </c>
      <c r="J418" s="62" t="inlineStr">
        <is>
          <t>Rencana Pengembangan Kompetensi ASN</t>
        </is>
      </c>
      <c r="K418" s="78" t="inlineStr"/>
      <c r="L418" s="29" t="inlineStr">
        <is>
          <t>Ada</t>
        </is>
      </c>
      <c r="M418" s="66" t="inlineStr">
        <is>
          <t>rencana Diklat 2026</t>
        </is>
      </c>
      <c r="N418" s="29" t="inlineStr">
        <is>
          <t>Ya</t>
        </is>
      </c>
      <c r="O418" s="29" t="inlineStr">
        <is>
          <t>Ya</t>
        </is>
      </c>
      <c r="P418" s="29" t="inlineStr">
        <is>
          <t>Sesuai</t>
        </is>
      </c>
      <c r="Q418" s="10" t="n"/>
      <c r="R418" s="30">
        <f>IF(OR(L418="",L418="N/A"),"",IF(L418="Tidak Ada",0,IF(P418="","",IF(P418="Tidak Sesuai",0,IF(AND(N418="Ya",O418="Ya",P418="Sesuai"),1,0.5)))))</f>
        <v/>
      </c>
      <c r="S418" s="30">
        <f>IF(L418="N/A","N/A",IF(R418="","Belum dinilai",IF(R418=1,"Memenuhi",IF(R418=0,"Tidak Memenuhi","Memenuhi Sebagian"))))</f>
        <v/>
      </c>
      <c r="T418" s="31" t="inlineStr">
        <is>
          <t>3.2-1</t>
        </is>
      </c>
      <c r="U418" s="77" t="n"/>
    </row>
    <row r="419" ht="27" customHeight="1">
      <c r="A419" s="77" t="n"/>
      <c r="B419" s="77" t="n"/>
      <c r="C419" s="77" t="n"/>
      <c r="D419" s="77" t="n"/>
      <c r="E419" s="33" t="inlineStr">
        <is>
          <t>C</t>
        </is>
      </c>
      <c r="F419" s="79" t="n"/>
      <c r="G419" s="79" t="n"/>
      <c r="H419" s="79" t="n"/>
      <c r="I419" s="28" t="n">
        <v>3</v>
      </c>
      <c r="J419" s="62" t="inlineStr">
        <is>
          <t>Bukti Pelaksanaan Pembinaan/Pengembangan SDM</t>
        </is>
      </c>
      <c r="K419" s="78" t="inlineStr"/>
      <c r="L419" s="29" t="n"/>
      <c r="M419" s="10" t="n"/>
      <c r="N419" s="29" t="n"/>
      <c r="O419" s="29" t="n"/>
      <c r="P419" s="29" t="n"/>
      <c r="Q419" s="10" t="n"/>
      <c r="R419" s="30">
        <f>IF(OR(L419="",L419="N/A"),"",IF(L419="Tidak Ada",0,IF(P419="","",IF(P419="Tidak Sesuai",0,IF(AND(N419="Ya",O419="Ya",P419="Sesuai"),1,0.5)))))</f>
        <v/>
      </c>
      <c r="S419" s="30">
        <f>IF(L419="N/A","N/A",IF(R419="","Belum dinilai",IF(R419=1,"Memenuhi",IF(R419=0,"Tidak Memenuhi","Memenuhi Sebagian"))))</f>
        <v/>
      </c>
      <c r="T419" s="31" t="inlineStr">
        <is>
          <t>3.2-1</t>
        </is>
      </c>
      <c r="U419" s="79" t="n"/>
    </row>
    <row r="420" ht="27" customHeight="1">
      <c r="A420" s="77" t="n"/>
      <c r="B420" s="77" t="n"/>
      <c r="C420" s="77" t="n"/>
      <c r="D420" s="77" t="n"/>
      <c r="E420" s="34" t="inlineStr">
        <is>
          <t>D</t>
        </is>
      </c>
      <c r="F420" s="62" t="inlineStr">
        <is>
          <t>D – Komunikasi &amp; Pemahaman</t>
        </is>
      </c>
      <c r="G420" s="62" t="inlineStr">
        <is>
          <t>Kebijakan terkait pembinaan SDM telah dikomunikasikan dan dipahami oleh pihak yang berkepentingan</t>
        </is>
      </c>
      <c r="H420" s="62" t="inlineStr">
        <is>
          <t>Kebijakan terkait pembinaan SDM telah dikomunikasikan dan dipahami oleh pihak yang berkepentingan</t>
        </is>
      </c>
      <c r="I420" s="28" t="n">
        <v>1</v>
      </c>
      <c r="J420" s="62" t="inlineStr">
        <is>
          <t>Bukti Sosialisasi Kebijakan Pembinaan SDM</t>
        </is>
      </c>
      <c r="K420" s="78" t="inlineStr"/>
      <c r="L420" s="29" t="n"/>
      <c r="M420" s="10" t="n"/>
      <c r="N420" s="29" t="n"/>
      <c r="O420" s="29" t="n"/>
      <c r="P420" s="29" t="n"/>
      <c r="Q420" s="10" t="n"/>
      <c r="R420" s="30">
        <f>IF(OR(L420="",L420="N/A"),"",IF(L420="Tidak Ada",0,IF(P420="","",IF(P420="Tidak Sesuai",0,IF(AND(N420="Ya",O420="Ya",P420="Sesuai"),1,0.5)))))</f>
        <v/>
      </c>
      <c r="S420" s="30">
        <f>IF(L420="N/A","N/A",IF(R420="","Belum dinilai",IF(R420=1,"Memenuhi",IF(R420=0,"Tidak Memenuhi","Memenuhi Sebagian"))))</f>
        <v/>
      </c>
      <c r="T420" s="31" t="inlineStr">
        <is>
          <t>3.2-1</t>
        </is>
      </c>
      <c r="U420" s="63">
        <f>IF(COUNT(R420:R422)=0,"",SUM(R420:R422)/COUNT(R420:R422))</f>
        <v/>
      </c>
    </row>
    <row r="421" ht="27" customHeight="1">
      <c r="A421" s="77" t="n"/>
      <c r="B421" s="77" t="n"/>
      <c r="C421" s="77" t="n"/>
      <c r="D421" s="77" t="n"/>
      <c r="E421" s="34" t="inlineStr">
        <is>
          <t>D</t>
        </is>
      </c>
      <c r="F421" s="77" t="n"/>
      <c r="G421" s="77" t="n"/>
      <c r="H421" s="77" t="n"/>
      <c r="I421" s="28" t="n">
        <v>2</v>
      </c>
      <c r="J421" s="62" t="inlineStr">
        <is>
          <t>Notulen/Daftar Hadir Sosialisasi</t>
        </is>
      </c>
      <c r="K421" s="78" t="inlineStr"/>
      <c r="L421" s="29" t="n"/>
      <c r="M421" s="10" t="n"/>
      <c r="N421" s="29" t="n"/>
      <c r="O421" s="29" t="n"/>
      <c r="P421" s="29" t="n"/>
      <c r="Q421" s="10" t="n"/>
      <c r="R421" s="30">
        <f>IF(OR(L421="",L421="N/A"),"",IF(L421="Tidak Ada",0,IF(P421="","",IF(P421="Tidak Sesuai",0,IF(AND(N421="Ya",O421="Ya",P421="Sesuai"),1,0.5)))))</f>
        <v/>
      </c>
      <c r="S421" s="30">
        <f>IF(L421="N/A","N/A",IF(R421="","Belum dinilai",IF(R421=1,"Memenuhi",IF(R421=0,"Tidak Memenuhi","Memenuhi Sebagian"))))</f>
        <v/>
      </c>
      <c r="T421" s="31" t="inlineStr">
        <is>
          <t>3.2-1</t>
        </is>
      </c>
      <c r="U421" s="77" t="n"/>
    </row>
    <row r="422" ht="27" customHeight="1">
      <c r="A422" s="77" t="n"/>
      <c r="B422" s="77" t="n"/>
      <c r="C422" s="77" t="n"/>
      <c r="D422" s="77" t="n"/>
      <c r="E422" s="34" t="inlineStr">
        <is>
          <t>D</t>
        </is>
      </c>
      <c r="F422" s="79" t="n"/>
      <c r="G422" s="79" t="n"/>
      <c r="H422" s="79" t="n"/>
      <c r="I422" s="28" t="n">
        <v>3</v>
      </c>
      <c r="J422" s="62" t="inlineStr">
        <is>
          <t>Materi Pembinaan SDM</t>
        </is>
      </c>
      <c r="K422" s="78" t="inlineStr"/>
      <c r="L422" s="29" t="n"/>
      <c r="M422" s="10" t="n"/>
      <c r="N422" s="29" t="n"/>
      <c r="O422" s="29" t="n"/>
      <c r="P422" s="29" t="n"/>
      <c r="Q422" s="10" t="n"/>
      <c r="R422" s="30">
        <f>IF(OR(L422="",L422="N/A"),"",IF(L422="Tidak Ada",0,IF(P422="","",IF(P422="Tidak Sesuai",0,IF(AND(N422="Ya",O422="Ya",P422="Sesuai"),1,0.5)))))</f>
        <v/>
      </c>
      <c r="S422" s="30">
        <f>IF(L422="N/A","N/A",IF(R422="","Belum dinilai",IF(R422=1,"Memenuhi",IF(R422=0,"Tidak Memenuhi","Memenuhi Sebagian"))))</f>
        <v/>
      </c>
      <c r="T422" s="31" t="inlineStr">
        <is>
          <t>3.2-1</t>
        </is>
      </c>
      <c r="U422" s="79" t="n"/>
    </row>
    <row r="423" ht="39" customHeight="1">
      <c r="A423" s="77" t="n"/>
      <c r="B423" s="77" t="n"/>
      <c r="C423" s="77" t="n"/>
      <c r="D423" s="77" t="n"/>
      <c r="E423" s="35" t="inlineStr">
        <is>
          <t>E</t>
        </is>
      </c>
      <c r="F423" s="62" t="inlineStr">
        <is>
          <t>E – Kebijakan/Formalitas</t>
        </is>
      </c>
      <c r="G423" s="62" t="inlineStr">
        <is>
          <t>Terdapat kebijakan yang mengatur pembinaan SDM untuk mendukung pelaksanaan tugas dan fungsi organisasi</t>
        </is>
      </c>
      <c r="H423" s="62" t="inlineStr">
        <is>
          <t>Terdapat kebijakan yang mengatur pembinaan SDM untuk mendukung pelaksanaan tugas dan fungsi organisasi</t>
        </is>
      </c>
      <c r="I423" s="28" t="n">
        <v>1</v>
      </c>
      <c r="J423" s="62" t="inlineStr">
        <is>
          <t>Kebijakan/Pedoman Pembinaan SDM</t>
        </is>
      </c>
      <c r="K423" s="78" t="inlineStr"/>
      <c r="L423" s="29" t="n"/>
      <c r="M423" s="10" t="n"/>
      <c r="N423" s="29" t="n"/>
      <c r="O423" s="29" t="n"/>
      <c r="P423" s="29" t="n"/>
      <c r="Q423" s="10" t="n"/>
      <c r="R423" s="30">
        <f>IF(OR(L423="",L423="N/A"),"",IF(L423="Tidak Ada",0,IF(P423="","",IF(P423="Tidak Sesuai",0,IF(AND(N423="Ya",O423="Ya",P423="Sesuai"),1,0.5)))))</f>
        <v/>
      </c>
      <c r="S423" s="30">
        <f>IF(L423="N/A","N/A",IF(R423="","Belum dinilai",IF(R423=1,"Memenuhi",IF(R423=0,"Tidak Memenuhi","Memenuhi Sebagian"))))</f>
        <v/>
      </c>
      <c r="T423" s="31" t="inlineStr">
        <is>
          <t>3.2-1</t>
        </is>
      </c>
      <c r="U423" s="63">
        <f>IF(COUNT(R423:R424)=0,"",SUM(R423:R424)/COUNT(R423:R424))</f>
        <v/>
      </c>
    </row>
    <row r="424" ht="39" customHeight="1">
      <c r="A424" s="79" t="n"/>
      <c r="B424" s="79" t="n"/>
      <c r="C424" s="79" t="n"/>
      <c r="D424" s="79" t="n"/>
      <c r="E424" s="35" t="inlineStr">
        <is>
          <t>E</t>
        </is>
      </c>
      <c r="F424" s="79" t="n"/>
      <c r="G424" s="79" t="n"/>
      <c r="H424" s="79" t="n"/>
      <c r="I424" s="28" t="n">
        <v>2</v>
      </c>
      <c r="J424" s="62" t="inlineStr">
        <is>
          <t>SOP Pengembangan Kompetensi/Pembinaan Pegawai</t>
        </is>
      </c>
      <c r="K424" s="78" t="inlineStr"/>
      <c r="L424" s="29" t="n"/>
      <c r="M424" s="10" t="n"/>
      <c r="N424" s="29" t="n"/>
      <c r="O424" s="29" t="n"/>
      <c r="P424" s="29" t="n"/>
      <c r="Q424" s="10" t="n"/>
      <c r="R424" s="30">
        <f>IF(OR(L424="",L424="N/A"),"",IF(L424="Tidak Ada",0,IF(P424="","",IF(P424="Tidak Sesuai",0,IF(AND(N424="Ya",O424="Ya",P424="Sesuai"),1,0.5)))))</f>
        <v/>
      </c>
      <c r="S424" s="30">
        <f>IF(L424="N/A","N/A",IF(R424="","Belum dinilai",IF(R424=1,"Memenuhi",IF(R424=0,"Tidak Memenuhi","Memenuhi Sebagian"))))</f>
        <v/>
      </c>
      <c r="T424" s="31" t="inlineStr">
        <is>
          <t>3.2-1</t>
        </is>
      </c>
      <c r="U424" s="79" t="n"/>
    </row>
    <row r="425" ht="27" customHeight="1">
      <c r="A425" s="56" t="inlineStr">
        <is>
          <t>3.3</t>
        </is>
      </c>
      <c r="B425" s="57" t="inlineStr">
        <is>
          <t>Pengendalian atas Pengelolaan Sistem Informasi</t>
        </is>
      </c>
      <c r="C425" s="58" t="n">
        <v>1</v>
      </c>
      <c r="D425" s="59" t="inlineStr">
        <is>
          <t>Pengendalian atas pengelolaan sistem informasi dilakukan untuk memastikan sistem informasi dapat menyajikan data yang akurat dan tepat waktu untuk digunakan oleh pengguna</t>
        </is>
      </c>
      <c r="E425" s="21" t="inlineStr">
        <is>
          <t>A</t>
        </is>
      </c>
      <c r="F425" s="60" t="inlineStr">
        <is>
          <t>A – Perbaikan Berkelanjutan</t>
        </is>
      </c>
      <c r="G425" s="60" t="inlineStr">
        <is>
          <t>Perbaikan terkait pengelolaan sistem informasi organisasi dilakukan secara berkelanjutan.</t>
        </is>
      </c>
      <c r="H425" s="60" t="inlineStr">
        <is>
          <t>Perbaikan terkait pengelolaan sistem informasi organisasi dilakukan secara berkelanjutan.</t>
        </is>
      </c>
      <c r="I425" s="22" t="n">
        <v>1</v>
      </c>
      <c r="J425" s="60" t="inlineStr">
        <is>
          <t>Laporan Evaluasi Pengelolaan Sistem Informasi</t>
        </is>
      </c>
      <c r="K425" s="76" t="inlineStr"/>
      <c r="L425" s="23" t="n"/>
      <c r="M425" s="24" t="n"/>
      <c r="N425" s="23" t="n"/>
      <c r="O425" s="23" t="n"/>
      <c r="P425" s="23" t="n"/>
      <c r="Q425" s="24" t="n"/>
      <c r="R425" s="25">
        <f>IF(OR(L425="",L425="N/A"),"",IF(L425="Tidak Ada",0,IF(P425="","",IF(P425="Tidak Sesuai",0,IF(AND(N425="Ya",O425="Ya",P425="Sesuai"),1,0.5)))))</f>
        <v/>
      </c>
      <c r="S425" s="25">
        <f>IF(L425="N/A","N/A",IF(R425="","Belum dinilai",IF(R425=1,"Memenuhi",IF(R425=0,"Tidak Memenuhi","Memenuhi Sebagian"))))</f>
        <v/>
      </c>
      <c r="T425" s="26" t="inlineStr">
        <is>
          <t>3.3-1</t>
        </is>
      </c>
      <c r="U425" s="61">
        <f>IF(COUNT(R425:R427)=0,"",SUM(R425:R427)/COUNT(R425:R427))</f>
        <v/>
      </c>
    </row>
    <row r="426" ht="27" customHeight="1">
      <c r="A426" s="77" t="n"/>
      <c r="B426" s="77" t="n"/>
      <c r="C426" s="77" t="n"/>
      <c r="D426" s="77" t="n"/>
      <c r="E426" s="27" t="inlineStr">
        <is>
          <t>A</t>
        </is>
      </c>
      <c r="F426" s="77" t="n"/>
      <c r="G426" s="77" t="n"/>
      <c r="H426" s="77" t="n"/>
      <c r="I426" s="28" t="n">
        <v>2</v>
      </c>
      <c r="J426" s="62" t="inlineStr">
        <is>
          <t>Laporan Perbaikan/Pemutakhiran Sistem Informasi</t>
        </is>
      </c>
      <c r="K426" s="78" t="inlineStr"/>
      <c r="L426" s="29" t="n"/>
      <c r="M426" s="10" t="n"/>
      <c r="N426" s="29" t="n"/>
      <c r="O426" s="29" t="n"/>
      <c r="P426" s="29" t="n"/>
      <c r="Q426" s="10" t="n"/>
      <c r="R426" s="30">
        <f>IF(OR(L426="",L426="N/A"),"",IF(L426="Tidak Ada",0,IF(P426="","",IF(P426="Tidak Sesuai",0,IF(AND(N426="Ya",O426="Ya",P426="Sesuai"),1,0.5)))))</f>
        <v/>
      </c>
      <c r="S426" s="30">
        <f>IF(L426="N/A","N/A",IF(R426="","Belum dinilai",IF(R426=1,"Memenuhi",IF(R426=0,"Tidak Memenuhi","Memenuhi Sebagian"))))</f>
        <v/>
      </c>
      <c r="T426" s="31" t="inlineStr">
        <is>
          <t>3.3-1</t>
        </is>
      </c>
      <c r="U426" s="77" t="n"/>
    </row>
    <row r="427" ht="27" customHeight="1">
      <c r="A427" s="77" t="n"/>
      <c r="B427" s="77" t="n"/>
      <c r="C427" s="77" t="n"/>
      <c r="D427" s="77" t="n"/>
      <c r="E427" s="27" t="inlineStr">
        <is>
          <t>A</t>
        </is>
      </c>
      <c r="F427" s="79" t="n"/>
      <c r="G427" s="79" t="n"/>
      <c r="H427" s="79" t="n"/>
      <c r="I427" s="28" t="n">
        <v>3</v>
      </c>
      <c r="J427" s="62" t="inlineStr">
        <is>
          <t>Bukti Implementasi Perbaikan</t>
        </is>
      </c>
      <c r="K427" s="78" t="inlineStr"/>
      <c r="L427" s="29" t="n"/>
      <c r="M427" s="10" t="n"/>
      <c r="N427" s="29" t="n"/>
      <c r="O427" s="29" t="n"/>
      <c r="P427" s="29" t="n"/>
      <c r="Q427" s="10" t="n"/>
      <c r="R427" s="30">
        <f>IF(OR(L427="",L427="N/A"),"",IF(L427="Tidak Ada",0,IF(P427="","",IF(P427="Tidak Sesuai",0,IF(AND(N427="Ya",O427="Ya",P427="Sesuai"),1,0.5)))))</f>
        <v/>
      </c>
      <c r="S427" s="30">
        <f>IF(L427="N/A","N/A",IF(R427="","Belum dinilai",IF(R427=1,"Memenuhi",IF(R427=0,"Tidak Memenuhi","Memenuhi Sebagian"))))</f>
        <v/>
      </c>
      <c r="T427" s="31" t="inlineStr">
        <is>
          <t>3.3-1</t>
        </is>
      </c>
      <c r="U427" s="79" t="n"/>
    </row>
    <row r="428" ht="39" customHeight="1">
      <c r="A428" s="77" t="n"/>
      <c r="B428" s="77" t="n"/>
      <c r="C428" s="77" t="n"/>
      <c r="D428" s="77" t="n"/>
      <c r="E428" s="32" t="inlineStr">
        <is>
          <t>B</t>
        </is>
      </c>
      <c r="F428" s="62" t="inlineStr">
        <is>
          <t>B – Evaluasi &amp; Tindak Lanjut</t>
        </is>
      </c>
      <c r="G428" s="62" t="inlineStr">
        <is>
          <t>Kebijakan pengendalian atas pengelolaan sistem informasi organisasi telah dievaluasi secara berkala.</t>
        </is>
      </c>
      <c r="H428" s="62" t="inlineStr">
        <is>
          <t>Kebijakan pengendalian atas pengelolaan sistem informasi organisasi telah dievaluasi secara berkala.</t>
        </is>
      </c>
      <c r="I428" s="28" t="n">
        <v>1</v>
      </c>
      <c r="J428" s="62" t="inlineStr">
        <is>
          <t>Laporan Evaluasi Pengendalian/Pengelolaan Sistem Informasi</t>
        </is>
      </c>
      <c r="K428" s="78" t="inlineStr"/>
      <c r="L428" s="29" t="n"/>
      <c r="M428" s="10" t="n"/>
      <c r="N428" s="29" t="n"/>
      <c r="O428" s="29" t="n"/>
      <c r="P428" s="29" t="n"/>
      <c r="Q428" s="10" t="n"/>
      <c r="R428" s="30">
        <f>IF(OR(L428="",L428="N/A"),"",IF(L428="Tidak Ada",0,IF(P428="","",IF(P428="Tidak Sesuai",0,IF(AND(N428="Ya",O428="Ya",P428="Sesuai"),1,0.5)))))</f>
        <v/>
      </c>
      <c r="S428" s="30">
        <f>IF(L428="N/A","N/A",IF(R428="","Belum dinilai",IF(R428=1,"Memenuhi",IF(R428=0,"Tidak Memenuhi","Memenuhi Sebagian"))))</f>
        <v/>
      </c>
      <c r="T428" s="31" t="inlineStr">
        <is>
          <t>3.3-1</t>
        </is>
      </c>
      <c r="U428" s="63">
        <f>IF(COUNT(R428:R429)=0,"",SUM(R428:R429)/COUNT(R428:R429))</f>
        <v/>
      </c>
    </row>
    <row r="429" ht="39" customHeight="1">
      <c r="A429" s="77" t="n"/>
      <c r="B429" s="77" t="n"/>
      <c r="C429" s="77" t="n"/>
      <c r="D429" s="77" t="n"/>
      <c r="E429" s="32" t="inlineStr">
        <is>
          <t>B</t>
        </is>
      </c>
      <c r="F429" s="79" t="n"/>
      <c r="G429" s="79" t="n"/>
      <c r="H429" s="79" t="n"/>
      <c r="I429" s="28" t="n">
        <v>2</v>
      </c>
      <c r="J429" s="62" t="inlineStr">
        <is>
          <t>Matriks Tindak Lanjut Hasil Evaluasi</t>
        </is>
      </c>
      <c r="K429" s="78" t="inlineStr"/>
      <c r="L429" s="29" t="n"/>
      <c r="M429" s="10" t="n"/>
      <c r="N429" s="29" t="n"/>
      <c r="O429" s="29" t="n"/>
      <c r="P429" s="29" t="n"/>
      <c r="Q429" s="10" t="n"/>
      <c r="R429" s="30">
        <f>IF(OR(L429="",L429="N/A"),"",IF(L429="Tidak Ada",0,IF(P429="","",IF(P429="Tidak Sesuai",0,IF(AND(N429="Ya",O429="Ya",P429="Sesuai"),1,0.5)))))</f>
        <v/>
      </c>
      <c r="S429" s="30">
        <f>IF(L429="N/A","N/A",IF(R429="","Belum dinilai",IF(R429=1,"Memenuhi",IF(R429=0,"Tidak Memenuhi","Memenuhi Sebagian"))))</f>
        <v/>
      </c>
      <c r="T429" s="31" t="inlineStr">
        <is>
          <t>3.3-1</t>
        </is>
      </c>
      <c r="U429" s="79" t="n"/>
    </row>
    <row r="430" ht="51" customHeight="1">
      <c r="A430" s="77" t="n"/>
      <c r="B430" s="77" t="n"/>
      <c r="C430" s="77" t="n"/>
      <c r="D430" s="77" t="n"/>
      <c r="E430" s="33" t="inlineStr">
        <is>
          <t>C</t>
        </is>
      </c>
      <c r="F430" s="62" t="inlineStr">
        <is>
          <t>C – Implementasi</t>
        </is>
      </c>
      <c r="G430" s="62" t="inlineStr">
        <is>
          <t>Kebijakan pengelolaan sistem informasi organisasi digunakan dalam analisis kebutuhan dukungan sistem informasi, kemanfaatan sistem informasi existing, serta struktur pengelola dan pengguna sistem informasi beserta wewenang dan tanggungjawabnya.</t>
        </is>
      </c>
      <c r="H430" s="62" t="inlineStr">
        <is>
          <t>Kebijakan pengelolaan sistem informasi organisasi digunakan dalam analisis kebutuhan dukungan sistem informasi, kemanfaatan sistem informasi existing, serta struktur pengelola dan pengguna sistem informasi beserta wewenang dan tanggungjawabnya.</t>
        </is>
      </c>
      <c r="I430" s="28" t="n">
        <v>1</v>
      </c>
      <c r="J430" s="62" t="inlineStr">
        <is>
          <t>Dokumen Analisis Kebutuhan Sistem Informasi</t>
        </is>
      </c>
      <c r="K430" s="78" t="inlineStr"/>
      <c r="L430" s="29" t="n"/>
      <c r="M430" s="10" t="n"/>
      <c r="N430" s="29" t="n"/>
      <c r="O430" s="29" t="n"/>
      <c r="P430" s="29" t="n"/>
      <c r="Q430" s="10" t="n"/>
      <c r="R430" s="30">
        <f>IF(OR(L430="",L430="N/A"),"",IF(L430="Tidak Ada",0,IF(P430="","",IF(P430="Tidak Sesuai",0,IF(AND(N430="Ya",O430="Ya",P430="Sesuai"),1,0.5)))))</f>
        <v/>
      </c>
      <c r="S430" s="30">
        <f>IF(L430="N/A","N/A",IF(R430="","Belum dinilai",IF(R430=1,"Memenuhi",IF(R430=0,"Tidak Memenuhi","Memenuhi Sebagian"))))</f>
        <v/>
      </c>
      <c r="T430" s="31" t="inlineStr">
        <is>
          <t>3.3-1</t>
        </is>
      </c>
      <c r="U430" s="63">
        <f>IF(COUNT(R430:R432)=0,"",SUM(R430:R432)/COUNT(R430:R432))</f>
        <v/>
      </c>
    </row>
    <row r="431" ht="51" customHeight="1">
      <c r="A431" s="77" t="n"/>
      <c r="B431" s="77" t="n"/>
      <c r="C431" s="77" t="n"/>
      <c r="D431" s="77" t="n"/>
      <c r="E431" s="33" t="inlineStr">
        <is>
          <t>C</t>
        </is>
      </c>
      <c r="F431" s="77" t="n"/>
      <c r="G431" s="77" t="n"/>
      <c r="H431" s="77" t="n"/>
      <c r="I431" s="28" t="n">
        <v>2</v>
      </c>
      <c r="J431" s="62" t="inlineStr">
        <is>
          <t>Daftar Inventaris Sistem Informasi</t>
        </is>
      </c>
      <c r="K431" s="78" t="inlineStr"/>
      <c r="L431" s="29" t="n"/>
      <c r="M431" s="10" t="n"/>
      <c r="N431" s="29" t="n"/>
      <c r="O431" s="29" t="n"/>
      <c r="P431" s="29" t="n"/>
      <c r="Q431" s="10" t="n"/>
      <c r="R431" s="30">
        <f>IF(OR(L431="",L431="N/A"),"",IF(L431="Tidak Ada",0,IF(P431="","",IF(P431="Tidak Sesuai",0,IF(AND(N431="Ya",O431="Ya",P431="Sesuai"),1,0.5)))))</f>
        <v/>
      </c>
      <c r="S431" s="30">
        <f>IF(L431="N/A","N/A",IF(R431="","Belum dinilai",IF(R431=1,"Memenuhi",IF(R431=0,"Tidak Memenuhi","Memenuhi Sebagian"))))</f>
        <v/>
      </c>
      <c r="T431" s="31" t="inlineStr">
        <is>
          <t>3.3-1</t>
        </is>
      </c>
      <c r="U431" s="77" t="n"/>
    </row>
    <row r="432" ht="51" customHeight="1">
      <c r="A432" s="77" t="n"/>
      <c r="B432" s="77" t="n"/>
      <c r="C432" s="77" t="n"/>
      <c r="D432" s="77" t="n"/>
      <c r="E432" s="33" t="inlineStr">
        <is>
          <t>C</t>
        </is>
      </c>
      <c r="F432" s="79" t="n"/>
      <c r="G432" s="79" t="n"/>
      <c r="H432" s="79" t="n"/>
      <c r="I432" s="28" t="n">
        <v>3</v>
      </c>
      <c r="J432" s="62" t="inlineStr">
        <is>
          <t>SK/Surat Keputusan Pengelola Sistem Informasi</t>
        </is>
      </c>
      <c r="K432" s="78" t="inlineStr"/>
      <c r="L432" s="29" t="inlineStr">
        <is>
          <t>Ada</t>
        </is>
      </c>
      <c r="M432" s="66" t="inlineStr">
        <is>
          <t>SK Penanggung jawab aplikasi</t>
        </is>
      </c>
      <c r="N432" s="29" t="inlineStr">
        <is>
          <t>Ya</t>
        </is>
      </c>
      <c r="O432" s="29" t="inlineStr">
        <is>
          <t>Ya</t>
        </is>
      </c>
      <c r="P432" s="29" t="inlineStr">
        <is>
          <t>Sesuai</t>
        </is>
      </c>
      <c r="Q432" s="10" t="n"/>
      <c r="R432" s="30">
        <f>IF(OR(L432="",L432="N/A"),"",IF(L432="Tidak Ada",0,IF(P432="","",IF(P432="Tidak Sesuai",0,IF(AND(N432="Ya",O432="Ya",P432="Sesuai"),1,0.5)))))</f>
        <v/>
      </c>
      <c r="S432" s="30">
        <f>IF(L432="N/A","N/A",IF(R432="","Belum dinilai",IF(R432=1,"Memenuhi",IF(R432=0,"Tidak Memenuhi","Memenuhi Sebagian"))))</f>
        <v/>
      </c>
      <c r="T432" s="31" t="inlineStr">
        <is>
          <t>3.3-1</t>
        </is>
      </c>
      <c r="U432" s="79" t="n"/>
    </row>
    <row r="433" ht="39" customHeight="1">
      <c r="A433" s="77" t="n"/>
      <c r="B433" s="77" t="n"/>
      <c r="C433" s="77" t="n"/>
      <c r="D433" s="77" t="n"/>
      <c r="E433" s="34" t="inlineStr">
        <is>
          <t>D</t>
        </is>
      </c>
      <c r="F433" s="62" t="inlineStr">
        <is>
          <t>D – Komunikasi &amp; Pemahaman</t>
        </is>
      </c>
      <c r="G433" s="62" t="inlineStr">
        <is>
          <t>Unit pengelola sistem informasi organisasi dan pengguna mengetahui kebijakan pengelolaan sistem informasi.</t>
        </is>
      </c>
      <c r="H433" s="62" t="inlineStr">
        <is>
          <t>Unit pengelola sistem informasi organisasi dan pengguna mengetahui kebijakan pengelolaan sistem informasi.</t>
        </is>
      </c>
      <c r="I433" s="28" t="n">
        <v>1</v>
      </c>
      <c r="J433" s="62" t="inlineStr">
        <is>
          <t>Bukti Sosialisasi Kebijakan Pengelolaan Sistem Informasi</t>
        </is>
      </c>
      <c r="K433" s="78" t="inlineStr"/>
      <c r="L433" s="29" t="n"/>
      <c r="M433" s="10" t="n"/>
      <c r="N433" s="29" t="n"/>
      <c r="O433" s="29" t="n"/>
      <c r="P433" s="29" t="n"/>
      <c r="Q433" s="10" t="n"/>
      <c r="R433" s="30">
        <f>IF(OR(L433="",L433="N/A"),"",IF(L433="Tidak Ada",0,IF(P433="","",IF(P433="Tidak Sesuai",0,IF(AND(N433="Ya",O433="Ya",P433="Sesuai"),1,0.5)))))</f>
        <v/>
      </c>
      <c r="S433" s="30">
        <f>IF(L433="N/A","N/A",IF(R433="","Belum dinilai",IF(R433=1,"Memenuhi",IF(R433=0,"Tidak Memenuhi","Memenuhi Sebagian"))))</f>
        <v/>
      </c>
      <c r="T433" s="31" t="inlineStr">
        <is>
          <t>3.3-1</t>
        </is>
      </c>
      <c r="U433" s="63">
        <f>IF(COUNT(R433:R434)=0,"",SUM(R433:R434)/COUNT(R433:R434))</f>
        <v/>
      </c>
    </row>
    <row r="434" ht="39" customHeight="1">
      <c r="A434" s="77" t="n"/>
      <c r="B434" s="77" t="n"/>
      <c r="C434" s="77" t="n"/>
      <c r="D434" s="77" t="n"/>
      <c r="E434" s="34" t="inlineStr">
        <is>
          <t>D</t>
        </is>
      </c>
      <c r="F434" s="79" t="n"/>
      <c r="G434" s="79" t="n"/>
      <c r="H434" s="79" t="n"/>
      <c r="I434" s="28" t="n">
        <v>2</v>
      </c>
      <c r="J434" s="62" t="inlineStr">
        <is>
          <t>SK/Daftar Pengelola dan Pengguna Sistem Informasi</t>
        </is>
      </c>
      <c r="K434" s="78" t="inlineStr"/>
      <c r="L434" s="29" t="n"/>
      <c r="M434" s="10" t="n"/>
      <c r="N434" s="29" t="n"/>
      <c r="O434" s="29" t="n"/>
      <c r="P434" s="29" t="n"/>
      <c r="Q434" s="10" t="n"/>
      <c r="R434" s="30">
        <f>IF(OR(L434="",L434="N/A"),"",IF(L434="Tidak Ada",0,IF(P434="","",IF(P434="Tidak Sesuai",0,IF(AND(N434="Ya",O434="Ya",P434="Sesuai"),1,0.5)))))</f>
        <v/>
      </c>
      <c r="S434" s="30">
        <f>IF(L434="N/A","N/A",IF(R434="","Belum dinilai",IF(R434=1,"Memenuhi",IF(R434=0,"Tidak Memenuhi","Memenuhi Sebagian"))))</f>
        <v/>
      </c>
      <c r="T434" s="31" t="inlineStr">
        <is>
          <t>3.3-1</t>
        </is>
      </c>
      <c r="U434" s="79" t="n"/>
    </row>
    <row r="435" ht="27" customHeight="1">
      <c r="A435" s="77" t="n"/>
      <c r="B435" s="77" t="n"/>
      <c r="C435" s="77" t="n"/>
      <c r="D435" s="77" t="n"/>
      <c r="E435" s="35" t="inlineStr">
        <is>
          <t>E</t>
        </is>
      </c>
      <c r="F435" s="62" t="inlineStr">
        <is>
          <t>E – Kebijakan/Formalitas</t>
        </is>
      </c>
      <c r="G435" s="62" t="inlineStr">
        <is>
          <t>Pimpinan organisasi menetapkan kebijakan/grand design pengelolaan sistem informasi.</t>
        </is>
      </c>
      <c r="H435" s="62" t="inlineStr">
        <is>
          <t>Pimpinan organisasi menetapkan kebijakan/grand design pengelolaan sistem informasi.</t>
        </is>
      </c>
      <c r="I435" s="28" t="n">
        <v>1</v>
      </c>
      <c r="J435" s="62" t="inlineStr">
        <is>
          <t>Kebijakan/Grand Design Pengelolaan Sistem Informasi</t>
        </is>
      </c>
      <c r="K435" s="78" t="inlineStr"/>
      <c r="L435" s="29" t="n"/>
      <c r="M435" s="10" t="n"/>
      <c r="N435" s="29" t="n"/>
      <c r="O435" s="29" t="n"/>
      <c r="P435" s="29" t="n"/>
      <c r="Q435" s="10" t="n"/>
      <c r="R435" s="30">
        <f>IF(OR(L435="",L435="N/A"),"",IF(L435="Tidak Ada",0,IF(P435="","",IF(P435="Tidak Sesuai",0,IF(AND(N435="Ya",O435="Ya",P435="Sesuai"),1,0.5)))))</f>
        <v/>
      </c>
      <c r="S435" s="30">
        <f>IF(L435="N/A","N/A",IF(R435="","Belum dinilai",IF(R435=1,"Memenuhi",IF(R435=0,"Tidak Memenuhi","Memenuhi Sebagian"))))</f>
        <v/>
      </c>
      <c r="T435" s="31" t="inlineStr">
        <is>
          <t>3.3-1</t>
        </is>
      </c>
      <c r="U435" s="63">
        <f>IF(COUNT(R435:R436)=0,"",SUM(R435:R436)/COUNT(R435:R436))</f>
        <v/>
      </c>
    </row>
    <row r="436" ht="27" customHeight="1">
      <c r="A436" s="79" t="n"/>
      <c r="B436" s="79" t="n"/>
      <c r="C436" s="79" t="n"/>
      <c r="D436" s="79" t="n"/>
      <c r="E436" s="35" t="inlineStr">
        <is>
          <t>E</t>
        </is>
      </c>
      <c r="F436" s="79" t="n"/>
      <c r="G436" s="79" t="n"/>
      <c r="H436" s="79" t="n"/>
      <c r="I436" s="28" t="n">
        <v>2</v>
      </c>
      <c r="J436" s="62" t="inlineStr">
        <is>
          <t>SK Penetapan Pengelola Sistem Informasi</t>
        </is>
      </c>
      <c r="K436" s="78" t="inlineStr"/>
      <c r="L436" s="29" t="n"/>
      <c r="M436" s="10" t="n"/>
      <c r="N436" s="29" t="n"/>
      <c r="O436" s="29" t="n"/>
      <c r="P436" s="29" t="n"/>
      <c r="Q436" s="10" t="n"/>
      <c r="R436" s="30">
        <f>IF(OR(L436="",L436="N/A"),"",IF(L436="Tidak Ada",0,IF(P436="","",IF(P436="Tidak Sesuai",0,IF(AND(N436="Ya",O436="Ya",P436="Sesuai"),1,0.5)))))</f>
        <v/>
      </c>
      <c r="S436" s="30">
        <f>IF(L436="N/A","N/A",IF(R436="","Belum dinilai",IF(R436=1,"Memenuhi",IF(R436=0,"Tidak Memenuhi","Memenuhi Sebagian"))))</f>
        <v/>
      </c>
      <c r="T436" s="31" t="inlineStr">
        <is>
          <t>3.3-1</t>
        </is>
      </c>
      <c r="U436" s="79" t="n"/>
    </row>
    <row r="437" ht="15" customHeight="1">
      <c r="A437" s="56" t="inlineStr">
        <is>
          <t>3.4</t>
        </is>
      </c>
      <c r="B437" s="57" t="inlineStr">
        <is>
          <t>Pengendalian Fisik atas Aset</t>
        </is>
      </c>
      <c r="C437" s="58" t="n">
        <v>1</v>
      </c>
      <c r="D437" s="59" t="inlineStr">
        <is>
          <t>Pengelolaan BMN/D dilakukan untuk menjamin aset tersedia dan dapat digunakan dengan baik oleh pengguna dalam rangka mendukung kinerja organisasi</t>
        </is>
      </c>
      <c r="E437" s="21" t="inlineStr">
        <is>
          <t>A</t>
        </is>
      </c>
      <c r="F437" s="60" t="inlineStr">
        <is>
          <t>A – Perbaikan Berkelanjutan</t>
        </is>
      </c>
      <c r="G437" s="60" t="inlineStr">
        <is>
          <t>Perbaikan berkelanjutan atas pengelolaan aset organisasi</t>
        </is>
      </c>
      <c r="H437" s="60" t="inlineStr">
        <is>
          <t>Perbaikan berkelanjutan atas pengelolaan aset organisasi</t>
        </is>
      </c>
      <c r="I437" s="22" t="n">
        <v>1</v>
      </c>
      <c r="J437" s="60" t="inlineStr">
        <is>
          <t>Laporan Evaluasi Pengelolaan Aset</t>
        </is>
      </c>
      <c r="K437" s="76" t="inlineStr"/>
      <c r="L437" s="23" t="n"/>
      <c r="M437" s="24" t="n"/>
      <c r="N437" s="23" t="n"/>
      <c r="O437" s="23" t="n"/>
      <c r="P437" s="23" t="n"/>
      <c r="Q437" s="24" t="n"/>
      <c r="R437" s="25">
        <f>IF(OR(L437="",L437="N/A"),"",IF(L437="Tidak Ada",0,IF(P437="","",IF(P437="Tidak Sesuai",0,IF(AND(N437="Ya",O437="Ya",P437="Sesuai"),1,0.5)))))</f>
        <v/>
      </c>
      <c r="S437" s="25">
        <f>IF(L437="N/A","N/A",IF(R437="","Belum dinilai",IF(R437=1,"Memenuhi",IF(R437=0,"Tidak Memenuhi","Memenuhi Sebagian"))))</f>
        <v/>
      </c>
      <c r="T437" s="26" t="inlineStr">
        <is>
          <t>3.4-1</t>
        </is>
      </c>
      <c r="U437" s="61">
        <f>IF(COUNT(R437:R439)=0,"",SUM(R437:R439)/COUNT(R437:R439))</f>
        <v/>
      </c>
    </row>
    <row r="438" ht="27" customHeight="1">
      <c r="A438" s="77" t="n"/>
      <c r="B438" s="77" t="n"/>
      <c r="C438" s="77" t="n"/>
      <c r="D438" s="77" t="n"/>
      <c r="E438" s="27" t="inlineStr">
        <is>
          <t>A</t>
        </is>
      </c>
      <c r="F438" s="77" t="n"/>
      <c r="G438" s="77" t="n"/>
      <c r="H438" s="77" t="n"/>
      <c r="I438" s="28" t="n">
        <v>2</v>
      </c>
      <c r="J438" s="62" t="inlineStr">
        <is>
          <t>Rencana Tindak Lanjut Perbaikan Pengelolaan Aset</t>
        </is>
      </c>
      <c r="K438" s="78" t="inlineStr"/>
      <c r="L438" s="29" t="n"/>
      <c r="M438" s="10" t="n"/>
      <c r="N438" s="29" t="n"/>
      <c r="O438" s="29" t="n"/>
      <c r="P438" s="29" t="n"/>
      <c r="Q438" s="10" t="n"/>
      <c r="R438" s="30">
        <f>IF(OR(L438="",L438="N/A"),"",IF(L438="Tidak Ada",0,IF(P438="","",IF(P438="Tidak Sesuai",0,IF(AND(N438="Ya",O438="Ya",P438="Sesuai"),1,0.5)))))</f>
        <v/>
      </c>
      <c r="S438" s="30">
        <f>IF(L438="N/A","N/A",IF(R438="","Belum dinilai",IF(R438=1,"Memenuhi",IF(R438=0,"Tidak Memenuhi","Memenuhi Sebagian"))))</f>
        <v/>
      </c>
      <c r="T438" s="31" t="inlineStr">
        <is>
          <t>3.4-1</t>
        </is>
      </c>
      <c r="U438" s="77" t="n"/>
    </row>
    <row r="439" ht="15" customHeight="1">
      <c r="A439" s="77" t="n"/>
      <c r="B439" s="77" t="n"/>
      <c r="C439" s="77" t="n"/>
      <c r="D439" s="77" t="n"/>
      <c r="E439" s="27" t="inlineStr">
        <is>
          <t>A</t>
        </is>
      </c>
      <c r="F439" s="79" t="n"/>
      <c r="G439" s="79" t="n"/>
      <c r="H439" s="79" t="n"/>
      <c r="I439" s="28" t="n">
        <v>3</v>
      </c>
      <c r="J439" s="62" t="inlineStr">
        <is>
          <t>Bukti Perbaikan/Pengamanan Aset</t>
        </is>
      </c>
      <c r="K439" s="78" t="inlineStr"/>
      <c r="L439" s="29" t="n"/>
      <c r="M439" s="10" t="n"/>
      <c r="N439" s="29" t="n"/>
      <c r="O439" s="29" t="n"/>
      <c r="P439" s="29" t="n"/>
      <c r="Q439" s="10" t="n"/>
      <c r="R439" s="30">
        <f>IF(OR(L439="",L439="N/A"),"",IF(L439="Tidak Ada",0,IF(P439="","",IF(P439="Tidak Sesuai",0,IF(AND(N439="Ya",O439="Ya",P439="Sesuai"),1,0.5)))))</f>
        <v/>
      </c>
      <c r="S439" s="30">
        <f>IF(L439="N/A","N/A",IF(R439="","Belum dinilai",IF(R439=1,"Memenuhi",IF(R439=0,"Tidak Memenuhi","Memenuhi Sebagian"))))</f>
        <v/>
      </c>
      <c r="T439" s="31" t="inlineStr">
        <is>
          <t>3.4-1</t>
        </is>
      </c>
      <c r="U439" s="79" t="n"/>
    </row>
    <row r="440" ht="27" customHeight="1">
      <c r="A440" s="77" t="n"/>
      <c r="B440" s="77" t="n"/>
      <c r="C440" s="77" t="n"/>
      <c r="D440" s="77" t="n"/>
      <c r="E440" s="32" t="inlineStr">
        <is>
          <t>B</t>
        </is>
      </c>
      <c r="F440" s="62" t="inlineStr">
        <is>
          <t>B – Evaluasi &amp; Tindak Lanjut</t>
        </is>
      </c>
      <c r="G440" s="62" t="inlineStr">
        <is>
          <t>Kebijakan/prosedur pengelolaan atas aset organisasi termasuk pengamanan fisik atas aset dievaluasi secara berkala</t>
        </is>
      </c>
      <c r="H440" s="62" t="inlineStr">
        <is>
          <t>Kebijakan/prosedur pengelolaan atas aset organisasi termasuk pengamanan fisik atas aset dievaluasi secara berkala</t>
        </is>
      </c>
      <c r="I440" s="28" t="n">
        <v>1</v>
      </c>
      <c r="J440" s="62" t="inlineStr">
        <is>
          <t>Laporan Evaluasi Pengelolaan BMN/D</t>
        </is>
      </c>
      <c r="K440" s="78" t="inlineStr"/>
      <c r="L440" s="29" t="n"/>
      <c r="M440" s="10" t="n"/>
      <c r="N440" s="29" t="n"/>
      <c r="O440" s="29" t="n"/>
      <c r="P440" s="29" t="n"/>
      <c r="Q440" s="10" t="n"/>
      <c r="R440" s="30">
        <f>IF(OR(L440="",L440="N/A"),"",IF(L440="Tidak Ada",0,IF(P440="","",IF(P440="Tidak Sesuai",0,IF(AND(N440="Ya",O440="Ya",P440="Sesuai"),1,0.5)))))</f>
        <v/>
      </c>
      <c r="S440" s="30">
        <f>IF(L440="N/A","N/A",IF(R440="","Belum dinilai",IF(R440=1,"Memenuhi",IF(R440=0,"Tidak Memenuhi","Memenuhi Sebagian"))))</f>
        <v/>
      </c>
      <c r="T440" s="31" t="inlineStr">
        <is>
          <t>3.4-1</t>
        </is>
      </c>
      <c r="U440" s="63">
        <f>IF(COUNT(R440:R442)=0,"",SUM(R440:R442)/COUNT(R440:R442))</f>
        <v/>
      </c>
    </row>
    <row r="441" ht="27" customHeight="1">
      <c r="A441" s="77" t="n"/>
      <c r="B441" s="77" t="n"/>
      <c r="C441" s="77" t="n"/>
      <c r="D441" s="77" t="n"/>
      <c r="E441" s="32" t="inlineStr">
        <is>
          <t>B</t>
        </is>
      </c>
      <c r="F441" s="77" t="n"/>
      <c r="G441" s="77" t="n"/>
      <c r="H441" s="77" t="n"/>
      <c r="I441" s="28" t="n">
        <v>2</v>
      </c>
      <c r="J441" s="62" t="inlineStr">
        <is>
          <t>Hasil Monitoring Pengamanan Aset</t>
        </is>
      </c>
      <c r="K441" s="78" t="inlineStr"/>
      <c r="L441" s="29" t="n"/>
      <c r="M441" s="10" t="n"/>
      <c r="N441" s="29" t="n"/>
      <c r="O441" s="29" t="n"/>
      <c r="P441" s="29" t="n"/>
      <c r="Q441" s="10" t="n"/>
      <c r="R441" s="30">
        <f>IF(OR(L441="",L441="N/A"),"",IF(L441="Tidak Ada",0,IF(P441="","",IF(P441="Tidak Sesuai",0,IF(AND(N441="Ya",O441="Ya",P441="Sesuai"),1,0.5)))))</f>
        <v/>
      </c>
      <c r="S441" s="30">
        <f>IF(L441="N/A","N/A",IF(R441="","Belum dinilai",IF(R441=1,"Memenuhi",IF(R441=0,"Tidak Memenuhi","Memenuhi Sebagian"))))</f>
        <v/>
      </c>
      <c r="T441" s="31" t="inlineStr">
        <is>
          <t>3.4-1</t>
        </is>
      </c>
      <c r="U441" s="77" t="n"/>
    </row>
    <row r="442" ht="27" customHeight="1">
      <c r="A442" s="77" t="n"/>
      <c r="B442" s="77" t="n"/>
      <c r="C442" s="77" t="n"/>
      <c r="D442" s="77" t="n"/>
      <c r="E442" s="32" t="inlineStr">
        <is>
          <t>B</t>
        </is>
      </c>
      <c r="F442" s="79" t="n"/>
      <c r="G442" s="79" t="n"/>
      <c r="H442" s="79" t="n"/>
      <c r="I442" s="28" t="n">
        <v>3</v>
      </c>
      <c r="J442" s="62" t="inlineStr">
        <is>
          <t>Matriks Tindak Lanjut</t>
        </is>
      </c>
      <c r="K442" s="78" t="inlineStr"/>
      <c r="L442" s="29" t="n"/>
      <c r="M442" s="10" t="n"/>
      <c r="N442" s="29" t="n"/>
      <c r="O442" s="29" t="n"/>
      <c r="P442" s="29" t="n"/>
      <c r="Q442" s="10" t="n"/>
      <c r="R442" s="30">
        <f>IF(OR(L442="",L442="N/A"),"",IF(L442="Tidak Ada",0,IF(P442="","",IF(P442="Tidak Sesuai",0,IF(AND(N442="Ya",O442="Ya",P442="Sesuai"),1,0.5)))))</f>
        <v/>
      </c>
      <c r="S442" s="30">
        <f>IF(L442="N/A","N/A",IF(R442="","Belum dinilai",IF(R442=1,"Memenuhi",IF(R442=0,"Tidak Memenuhi","Memenuhi Sebagian"))))</f>
        <v/>
      </c>
      <c r="T442" s="31" t="inlineStr">
        <is>
          <t>3.4-1</t>
        </is>
      </c>
      <c r="U442" s="79" t="n"/>
    </row>
    <row r="443" ht="27" customHeight="1">
      <c r="A443" s="77" t="n"/>
      <c r="B443" s="77" t="n"/>
      <c r="C443" s="77" t="n"/>
      <c r="D443" s="77" t="n"/>
      <c r="E443" s="33" t="inlineStr">
        <is>
          <t>C</t>
        </is>
      </c>
      <c r="F443" s="62" t="inlineStr">
        <is>
          <t>C – Implementasi</t>
        </is>
      </c>
      <c r="G443" s="62" t="inlineStr">
        <is>
          <t>Kebijakan/prosedur pengelolaan atas aset organisasi termasuk pengamanan fisik atas aset diimplementasikan secara memadai</t>
        </is>
      </c>
      <c r="H443" s="62" t="inlineStr">
        <is>
          <t>Kebijakan/prosedur pengelolaan atas aset organisasi termasuk pengamanan fisik atas aset diimplementasikan secara memadai</t>
        </is>
      </c>
      <c r="I443" s="28" t="n">
        <v>1</v>
      </c>
      <c r="J443" s="62" t="inlineStr">
        <is>
          <t>Kartu Inventaris Barang/Daftar Barang</t>
        </is>
      </c>
      <c r="K443" s="78" t="inlineStr"/>
      <c r="L443" s="29" t="inlineStr">
        <is>
          <t>Ada</t>
        </is>
      </c>
      <c r="M443" s="66" t="inlineStr">
        <is>
          <t>KIB 2025/2026</t>
        </is>
      </c>
      <c r="N443" s="29" t="inlineStr">
        <is>
          <t>Ya</t>
        </is>
      </c>
      <c r="O443" s="29" t="inlineStr">
        <is>
          <t>Ya</t>
        </is>
      </c>
      <c r="P443" s="29" t="inlineStr">
        <is>
          <t>Sesuai</t>
        </is>
      </c>
      <c r="Q443" s="10" t="n"/>
      <c r="R443" s="30">
        <f>IF(OR(L443="",L443="N/A"),"",IF(L443="Tidak Ada",0,IF(P443="","",IF(P443="Tidak Sesuai",0,IF(AND(N443="Ya",O443="Ya",P443="Sesuai"),1,0.5)))))</f>
        <v/>
      </c>
      <c r="S443" s="30">
        <f>IF(L443="N/A","N/A",IF(R443="","Belum dinilai",IF(R443=1,"Memenuhi",IF(R443=0,"Tidak Memenuhi","Memenuhi Sebagian"))))</f>
        <v/>
      </c>
      <c r="T443" s="31" t="inlineStr">
        <is>
          <t>3.4-1</t>
        </is>
      </c>
      <c r="U443" s="63">
        <f>IF(COUNT(R443:R445)=0,"",SUM(R443:R445)/COUNT(R443:R445))</f>
        <v/>
      </c>
    </row>
    <row r="444" ht="27" customHeight="1">
      <c r="A444" s="77" t="n"/>
      <c r="B444" s="77" t="n"/>
      <c r="C444" s="77" t="n"/>
      <c r="D444" s="77" t="n"/>
      <c r="E444" s="33" t="inlineStr">
        <is>
          <t>C</t>
        </is>
      </c>
      <c r="F444" s="77" t="n"/>
      <c r="G444" s="77" t="n"/>
      <c r="H444" s="77" t="n"/>
      <c r="I444" s="28" t="n">
        <v>2</v>
      </c>
      <c r="J444" s="62" t="inlineStr">
        <is>
          <t>Laporan Penatausahaan BMN/D</t>
        </is>
      </c>
      <c r="K444" s="78" t="inlineStr"/>
      <c r="L444" s="29" t="n"/>
      <c r="M444" s="10" t="n"/>
      <c r="N444" s="29" t="n"/>
      <c r="O444" s="29" t="n"/>
      <c r="P444" s="29" t="n"/>
      <c r="Q444" s="10" t="n"/>
      <c r="R444" s="30">
        <f>IF(OR(L444="",L444="N/A"),"",IF(L444="Tidak Ada",0,IF(P444="","",IF(P444="Tidak Sesuai",0,IF(AND(N444="Ya",O444="Ya",P444="Sesuai"),1,0.5)))))</f>
        <v/>
      </c>
      <c r="S444" s="30">
        <f>IF(L444="N/A","N/A",IF(R444="","Belum dinilai",IF(R444=1,"Memenuhi",IF(R444=0,"Tidak Memenuhi","Memenuhi Sebagian"))))</f>
        <v/>
      </c>
      <c r="T444" s="31" t="inlineStr">
        <is>
          <t>3.4-1</t>
        </is>
      </c>
      <c r="U444" s="77" t="n"/>
    </row>
    <row r="445" ht="27" customHeight="1">
      <c r="A445" s="77" t="n"/>
      <c r="B445" s="77" t="n"/>
      <c r="C445" s="77" t="n"/>
      <c r="D445" s="77" t="n"/>
      <c r="E445" s="33" t="inlineStr">
        <is>
          <t>C</t>
        </is>
      </c>
      <c r="F445" s="79" t="n"/>
      <c r="G445" s="79" t="n"/>
      <c r="H445" s="79" t="n"/>
      <c r="I445" s="28" t="n">
        <v>3</v>
      </c>
      <c r="J445" s="62" t="inlineStr">
        <is>
          <t>Berita Acara Pemeriksaan/Pengamanan Aset</t>
        </is>
      </c>
      <c r="K445" s="78" t="inlineStr"/>
      <c r="L445" s="29" t="n"/>
      <c r="M445" s="10" t="n"/>
      <c r="N445" s="29" t="n"/>
      <c r="O445" s="29" t="n"/>
      <c r="P445" s="29" t="n"/>
      <c r="Q445" s="10" t="n"/>
      <c r="R445" s="30">
        <f>IF(OR(L445="",L445="N/A"),"",IF(L445="Tidak Ada",0,IF(P445="","",IF(P445="Tidak Sesuai",0,IF(AND(N445="Ya",O445="Ya",P445="Sesuai"),1,0.5)))))</f>
        <v/>
      </c>
      <c r="S445" s="30">
        <f>IF(L445="N/A","N/A",IF(R445="","Belum dinilai",IF(R445=1,"Memenuhi",IF(R445=0,"Tidak Memenuhi","Memenuhi Sebagian"))))</f>
        <v/>
      </c>
      <c r="T445" s="31" t="inlineStr">
        <is>
          <t>3.4-1</t>
        </is>
      </c>
      <c r="U445" s="79" t="n"/>
    </row>
    <row r="446" ht="27" customHeight="1">
      <c r="A446" s="77" t="n"/>
      <c r="B446" s="77" t="n"/>
      <c r="C446" s="77" t="n"/>
      <c r="D446" s="77" t="n"/>
      <c r="E446" s="34" t="inlineStr">
        <is>
          <t>D</t>
        </is>
      </c>
      <c r="F446" s="62" t="inlineStr">
        <is>
          <t>D – Komunikasi &amp; Pemahaman</t>
        </is>
      </c>
      <c r="G446" s="62" t="inlineStr">
        <is>
          <t>Kebijakan pengelolaan aset organisasi dipahami oleh pengelola aset dan pengguna aset</t>
        </is>
      </c>
      <c r="H446" s="62" t="inlineStr">
        <is>
          <t>Kebijakan pengelolaan aset organisasi dipahami oleh pengelola aset dan pengguna aset</t>
        </is>
      </c>
      <c r="I446" s="28" t="n">
        <v>1</v>
      </c>
      <c r="J446" s="62" t="inlineStr">
        <is>
          <t>Bukti Sosialisasi Kebijakan Pengelolaan BMN/D</t>
        </is>
      </c>
      <c r="K446" s="78" t="inlineStr"/>
      <c r="L446" s="29" t="n"/>
      <c r="M446" s="10" t="n"/>
      <c r="N446" s="29" t="n"/>
      <c r="O446" s="29" t="n"/>
      <c r="P446" s="29" t="n"/>
      <c r="Q446" s="10" t="n"/>
      <c r="R446" s="30">
        <f>IF(OR(L446="",L446="N/A"),"",IF(L446="Tidak Ada",0,IF(P446="","",IF(P446="Tidak Sesuai",0,IF(AND(N446="Ya",O446="Ya",P446="Sesuai"),1,0.5)))))</f>
        <v/>
      </c>
      <c r="S446" s="30">
        <f>IF(L446="N/A","N/A",IF(R446="","Belum dinilai",IF(R446=1,"Memenuhi",IF(R446=0,"Tidak Memenuhi","Memenuhi Sebagian"))))</f>
        <v/>
      </c>
      <c r="T446" s="31" t="inlineStr">
        <is>
          <t>3.4-1</t>
        </is>
      </c>
      <c r="U446" s="63">
        <f>IF(COUNT(R446:R447)=0,"",SUM(R446:R447)/COUNT(R446:R447))</f>
        <v/>
      </c>
    </row>
    <row r="447" ht="27" customHeight="1">
      <c r="A447" s="77" t="n"/>
      <c r="B447" s="77" t="n"/>
      <c r="C447" s="77" t="n"/>
      <c r="D447" s="77" t="n"/>
      <c r="E447" s="34" t="inlineStr">
        <is>
          <t>D</t>
        </is>
      </c>
      <c r="F447" s="79" t="n"/>
      <c r="G447" s="79" t="n"/>
      <c r="H447" s="79" t="n"/>
      <c r="I447" s="28" t="n">
        <v>2</v>
      </c>
      <c r="J447" s="62" t="inlineStr">
        <is>
          <t>Daftar Pengelola/Pengguna Barang</t>
        </is>
      </c>
      <c r="K447" s="78" t="inlineStr"/>
      <c r="L447" s="29" t="n"/>
      <c r="M447" s="10" t="n"/>
      <c r="N447" s="29" t="n"/>
      <c r="O447" s="29" t="n"/>
      <c r="P447" s="29" t="n"/>
      <c r="Q447" s="10" t="n"/>
      <c r="R447" s="30">
        <f>IF(OR(L447="",L447="N/A"),"",IF(L447="Tidak Ada",0,IF(P447="","",IF(P447="Tidak Sesuai",0,IF(AND(N447="Ya",O447="Ya",P447="Sesuai"),1,0.5)))))</f>
        <v/>
      </c>
      <c r="S447" s="30">
        <f>IF(L447="N/A","N/A",IF(R447="","Belum dinilai",IF(R447=1,"Memenuhi",IF(R447=0,"Tidak Memenuhi","Memenuhi Sebagian"))))</f>
        <v/>
      </c>
      <c r="T447" s="31" t="inlineStr">
        <is>
          <t>3.4-1</t>
        </is>
      </c>
      <c r="U447" s="79" t="n"/>
    </row>
    <row r="448" ht="27" customHeight="1">
      <c r="A448" s="77" t="n"/>
      <c r="B448" s="77" t="n"/>
      <c r="C448" s="77" t="n"/>
      <c r="D448" s="77" t="n"/>
      <c r="E448" s="35" t="inlineStr">
        <is>
          <t>E</t>
        </is>
      </c>
      <c r="F448" s="62" t="inlineStr">
        <is>
          <t>E – Kebijakan/Formalitas</t>
        </is>
      </c>
      <c r="G448" s="62" t="inlineStr">
        <is>
          <t>Pimpinan organisasi menetapkan kebijakan/prosedur pengelolaan BMN/D</t>
        </is>
      </c>
      <c r="H448" s="62" t="inlineStr">
        <is>
          <t>Pimpinan organisasi menetapkan kebijakan/prosedur pengelolaan BMN/D</t>
        </is>
      </c>
      <c r="I448" s="28" t="n">
        <v>1</v>
      </c>
      <c r="J448" s="62" t="inlineStr">
        <is>
          <t>Kebijakan/SOP Pengelolaan BMN/D</t>
        </is>
      </c>
      <c r="K448" s="78" t="inlineStr"/>
      <c r="L448" s="29" t="n"/>
      <c r="M448" s="10" t="n"/>
      <c r="N448" s="29" t="n"/>
      <c r="O448" s="29" t="n"/>
      <c r="P448" s="29" t="n"/>
      <c r="Q448" s="10" t="n"/>
      <c r="R448" s="30">
        <f>IF(OR(L448="",L448="N/A"),"",IF(L448="Tidak Ada",0,IF(P448="","",IF(P448="Tidak Sesuai",0,IF(AND(N448="Ya",O448="Ya",P448="Sesuai"),1,0.5)))))</f>
        <v/>
      </c>
      <c r="S448" s="30">
        <f>IF(L448="N/A","N/A",IF(R448="","Belum dinilai",IF(R448=1,"Memenuhi",IF(R448=0,"Tidak Memenuhi","Memenuhi Sebagian"))))</f>
        <v/>
      </c>
      <c r="T448" s="31" t="inlineStr">
        <is>
          <t>3.4-1</t>
        </is>
      </c>
      <c r="U448" s="63">
        <f>IF(COUNT(R448:R449)=0,"",SUM(R448:R449)/COUNT(R448:R449))</f>
        <v/>
      </c>
    </row>
    <row r="449" ht="27" customHeight="1">
      <c r="A449" s="79" t="n"/>
      <c r="B449" s="79" t="n"/>
      <c r="C449" s="79" t="n"/>
      <c r="D449" s="79" t="n"/>
      <c r="E449" s="35" t="inlineStr">
        <is>
          <t>E</t>
        </is>
      </c>
      <c r="F449" s="79" t="n"/>
      <c r="G449" s="79" t="n"/>
      <c r="H449" s="79" t="n"/>
      <c r="I449" s="28" t="n">
        <v>2</v>
      </c>
      <c r="J449" s="62" t="inlineStr">
        <is>
          <t>SK Penetapan Pengurus/Pengelola Barang</t>
        </is>
      </c>
      <c r="K449" s="78" t="inlineStr"/>
      <c r="L449" s="29" t="n"/>
      <c r="M449" s="10" t="n"/>
      <c r="N449" s="29" t="n"/>
      <c r="O449" s="29" t="n"/>
      <c r="P449" s="29" t="n"/>
      <c r="Q449" s="10" t="n"/>
      <c r="R449" s="30">
        <f>IF(OR(L449="",L449="N/A"),"",IF(L449="Tidak Ada",0,IF(P449="","",IF(P449="Tidak Sesuai",0,IF(AND(N449="Ya",O449="Ya",P449="Sesuai"),1,0.5)))))</f>
        <v/>
      </c>
      <c r="S449" s="30">
        <f>IF(L449="N/A","N/A",IF(R449="","Belum dinilai",IF(R449=1,"Memenuhi",IF(R449=0,"Tidak Memenuhi","Memenuhi Sebagian"))))</f>
        <v/>
      </c>
      <c r="T449" s="31" t="inlineStr">
        <is>
          <t>3.4-1</t>
        </is>
      </c>
      <c r="U449" s="79" t="n"/>
    </row>
    <row r="450" ht="27" customHeight="1">
      <c r="A450" s="56" t="inlineStr">
        <is>
          <t>3.5</t>
        </is>
      </c>
      <c r="B450" s="57" t="inlineStr">
        <is>
          <t>Penetapan dan Reviu atas Indikator dan Ukuran Kinerja</t>
        </is>
      </c>
      <c r="C450" s="58" t="n">
        <v>1</v>
      </c>
      <c r="D450" s="59" t="inlineStr">
        <is>
          <t>Kegiatan pengendalian atas penetapan dan reviu atas indikator dan ukuran kinerja dilakukan untuk menjamin keandalan ukuran dan ketepatan penetapan indikator masing-masing unit secara berjenjang dibandingkan dengan IKU organisasi.</t>
        </is>
      </c>
      <c r="E450" s="21" t="inlineStr">
        <is>
          <t>A</t>
        </is>
      </c>
      <c r="F450" s="60" t="inlineStr">
        <is>
          <t>A – Perbaikan Berkelanjutan</t>
        </is>
      </c>
      <c r="G450" s="60" t="inlineStr">
        <is>
          <t>Perbaikan berkelanjutan atas penetapan dan reviu atas indikator dan ukuran kinerja organisasi</t>
        </is>
      </c>
      <c r="H450" s="60" t="inlineStr">
        <is>
          <t>Perbaikan berkelanjutan atas penetapan dan reviu atas indikator dan ukuran kinerja organisasi</t>
        </is>
      </c>
      <c r="I450" s="22" t="n">
        <v>1</v>
      </c>
      <c r="J450" s="60" t="inlineStr">
        <is>
          <t>Laporan Evaluasi Penetapan dan Reviu Indikator Kinerja</t>
        </is>
      </c>
      <c r="K450" s="76" t="inlineStr"/>
      <c r="L450" s="23" t="n"/>
      <c r="M450" s="24" t="n"/>
      <c r="N450" s="23" t="n"/>
      <c r="O450" s="23" t="n"/>
      <c r="P450" s="23" t="n"/>
      <c r="Q450" s="24" t="n"/>
      <c r="R450" s="25">
        <f>IF(OR(L450="",L450="N/A"),"",IF(L450="Tidak Ada",0,IF(P450="","",IF(P450="Tidak Sesuai",0,IF(AND(N450="Ya",O450="Ya",P450="Sesuai"),1,0.5)))))</f>
        <v/>
      </c>
      <c r="S450" s="25">
        <f>IF(L450="N/A","N/A",IF(R450="","Belum dinilai",IF(R450=1,"Memenuhi",IF(R450=0,"Tidak Memenuhi","Memenuhi Sebagian"))))</f>
        <v/>
      </c>
      <c r="T450" s="26" t="inlineStr">
        <is>
          <t>3.5-1</t>
        </is>
      </c>
      <c r="U450" s="61">
        <f>IF(COUNT(R450:R452)=0,"",SUM(R450:R452)/COUNT(R450:R452))</f>
        <v/>
      </c>
    </row>
    <row r="451" ht="27" customHeight="1">
      <c r="A451" s="77" t="n"/>
      <c r="B451" s="77" t="n"/>
      <c r="C451" s="77" t="n"/>
      <c r="D451" s="77" t="n"/>
      <c r="E451" s="27" t="inlineStr">
        <is>
          <t>A</t>
        </is>
      </c>
      <c r="F451" s="77" t="n"/>
      <c r="G451" s="77" t="n"/>
      <c r="H451" s="77" t="n"/>
      <c r="I451" s="28" t="n">
        <v>2</v>
      </c>
      <c r="J451" s="62" t="inlineStr">
        <is>
          <t>Dokumen Perbaikan/Pemutakhiran Indikator Kinerja</t>
        </is>
      </c>
      <c r="K451" s="78" t="inlineStr"/>
      <c r="L451" s="29" t="n"/>
      <c r="M451" s="10" t="n"/>
      <c r="N451" s="29" t="n"/>
      <c r="O451" s="29" t="n"/>
      <c r="P451" s="29" t="n"/>
      <c r="Q451" s="10" t="n"/>
      <c r="R451" s="30">
        <f>IF(OR(L451="",L451="N/A"),"",IF(L451="Tidak Ada",0,IF(P451="","",IF(P451="Tidak Sesuai",0,IF(AND(N451="Ya",O451="Ya",P451="Sesuai"),1,0.5)))))</f>
        <v/>
      </c>
      <c r="S451" s="30">
        <f>IF(L451="N/A","N/A",IF(R451="","Belum dinilai",IF(R451=1,"Memenuhi",IF(R451=0,"Tidak Memenuhi","Memenuhi Sebagian"))))</f>
        <v/>
      </c>
      <c r="T451" s="31" t="inlineStr">
        <is>
          <t>3.5-1</t>
        </is>
      </c>
      <c r="U451" s="77" t="n"/>
    </row>
    <row r="452" ht="27" customHeight="1">
      <c r="A452" s="77" t="n"/>
      <c r="B452" s="77" t="n"/>
      <c r="C452" s="77" t="n"/>
      <c r="D452" s="77" t="n"/>
      <c r="E452" s="27" t="inlineStr">
        <is>
          <t>A</t>
        </is>
      </c>
      <c r="F452" s="79" t="n"/>
      <c r="G452" s="79" t="n"/>
      <c r="H452" s="79" t="n"/>
      <c r="I452" s="28" t="n">
        <v>3</v>
      </c>
      <c r="J452" s="62" t="inlineStr">
        <is>
          <t>Laporan Kinerja</t>
        </is>
      </c>
      <c r="K452" s="78" t="inlineStr"/>
      <c r="L452" s="29" t="n"/>
      <c r="M452" s="10" t="n"/>
      <c r="N452" s="29" t="n"/>
      <c r="O452" s="29" t="n"/>
      <c r="P452" s="29" t="n"/>
      <c r="Q452" s="10" t="n"/>
      <c r="R452" s="30">
        <f>IF(OR(L452="",L452="N/A"),"",IF(L452="Tidak Ada",0,IF(P452="","",IF(P452="Tidak Sesuai",0,IF(AND(N452="Ya",O452="Ya",P452="Sesuai"),1,0.5)))))</f>
        <v/>
      </c>
      <c r="S452" s="30">
        <f>IF(L452="N/A","N/A",IF(R452="","Belum dinilai",IF(R452=1,"Memenuhi",IF(R452=0,"Tidak Memenuhi","Memenuhi Sebagian"))))</f>
        <v/>
      </c>
      <c r="T452" s="31" t="inlineStr">
        <is>
          <t>3.5-1</t>
        </is>
      </c>
      <c r="U452" s="79" t="n"/>
    </row>
    <row r="453" ht="39" customHeight="1">
      <c r="A453" s="77" t="n"/>
      <c r="B453" s="77" t="n"/>
      <c r="C453" s="77" t="n"/>
      <c r="D453" s="77" t="n"/>
      <c r="E453" s="32" t="inlineStr">
        <is>
          <t>B</t>
        </is>
      </c>
      <c r="F453" s="62" t="inlineStr">
        <is>
          <t>B – Evaluasi &amp; Tindak Lanjut</t>
        </is>
      </c>
      <c r="G453" s="62" t="inlineStr">
        <is>
          <t>Kebijakan/prosedur penetapan dan reviu atas indikator dan ukuran kinerja organisasi dievaluasi secara berkala</t>
        </is>
      </c>
      <c r="H453" s="62" t="inlineStr">
        <is>
          <t>Kebijakan/prosedur penetapan dan reviu atas indikator dan ukuran kinerja organisasi dievaluasi secara berkala</t>
        </is>
      </c>
      <c r="I453" s="28" t="n">
        <v>1</v>
      </c>
      <c r="J453" s="62" t="inlineStr">
        <is>
          <t>Laporan Evaluasi Penetapan dan Reviu Indikator Kinerja</t>
        </is>
      </c>
      <c r="K453" s="78" t="inlineStr"/>
      <c r="L453" s="29" t="n"/>
      <c r="M453" s="10" t="n"/>
      <c r="N453" s="29" t="n"/>
      <c r="O453" s="29" t="n"/>
      <c r="P453" s="29" t="n"/>
      <c r="Q453" s="10" t="n"/>
      <c r="R453" s="30">
        <f>IF(OR(L453="",L453="N/A"),"",IF(L453="Tidak Ada",0,IF(P453="","",IF(P453="Tidak Sesuai",0,IF(AND(N453="Ya",O453="Ya",P453="Sesuai"),1,0.5)))))</f>
        <v/>
      </c>
      <c r="S453" s="30">
        <f>IF(L453="N/A","N/A",IF(R453="","Belum dinilai",IF(R453=1,"Memenuhi",IF(R453=0,"Tidak Memenuhi","Memenuhi Sebagian"))))</f>
        <v/>
      </c>
      <c r="T453" s="31" t="inlineStr">
        <is>
          <t>3.5-1</t>
        </is>
      </c>
      <c r="U453" s="63">
        <f>IF(COUNT(R453:R454)=0,"",SUM(R453:R454)/COUNT(R453:R454))</f>
        <v/>
      </c>
    </row>
    <row r="454" ht="39" customHeight="1">
      <c r="A454" s="77" t="n"/>
      <c r="B454" s="77" t="n"/>
      <c r="C454" s="77" t="n"/>
      <c r="D454" s="77" t="n"/>
      <c r="E454" s="32" t="inlineStr">
        <is>
          <t>B</t>
        </is>
      </c>
      <c r="F454" s="79" t="n"/>
      <c r="G454" s="79" t="n"/>
      <c r="H454" s="79" t="n"/>
      <c r="I454" s="28" t="n">
        <v>2</v>
      </c>
      <c r="J454" s="62" t="inlineStr">
        <is>
          <t>Matriks Tindak Lanjut Hasil Evaluasi</t>
        </is>
      </c>
      <c r="K454" s="78" t="inlineStr"/>
      <c r="L454" s="29" t="n"/>
      <c r="M454" s="10" t="n"/>
      <c r="N454" s="29" t="n"/>
      <c r="O454" s="29" t="n"/>
      <c r="P454" s="29" t="n"/>
      <c r="Q454" s="10" t="n"/>
      <c r="R454" s="30">
        <f>IF(OR(L454="",L454="N/A"),"",IF(L454="Tidak Ada",0,IF(P454="","",IF(P454="Tidak Sesuai",0,IF(AND(N454="Ya",O454="Ya",P454="Sesuai"),1,0.5)))))</f>
        <v/>
      </c>
      <c r="S454" s="30">
        <f>IF(L454="N/A","N/A",IF(R454="","Belum dinilai",IF(R454=1,"Memenuhi",IF(R454=0,"Tidak Memenuhi","Memenuhi Sebagian"))))</f>
        <v/>
      </c>
      <c r="T454" s="31" t="inlineStr">
        <is>
          <t>3.5-1</t>
        </is>
      </c>
      <c r="U454" s="79" t="n"/>
    </row>
    <row r="455" ht="27" customHeight="1">
      <c r="A455" s="77" t="n"/>
      <c r="B455" s="77" t="n"/>
      <c r="C455" s="77" t="n"/>
      <c r="D455" s="77" t="n"/>
      <c r="E455" s="33" t="inlineStr">
        <is>
          <t>C</t>
        </is>
      </c>
      <c r="F455" s="62" t="inlineStr">
        <is>
          <t>C – Implementasi</t>
        </is>
      </c>
      <c r="G455" s="62" t="inlineStr">
        <is>
          <t>Kebijakan/prosedur penetapan dan reviu atas indikator dan ukuran kinerja organisasi dilaksanakan secara memadai.</t>
        </is>
      </c>
      <c r="H455" s="62" t="inlineStr">
        <is>
          <t>Kebijakan/prosedur penetapan dan reviu atas indikator dan ukuran kinerja organisasi dilaksanakan secara memadai.</t>
        </is>
      </c>
      <c r="I455" s="28" t="n">
        <v>1</v>
      </c>
      <c r="J455" s="62" t="inlineStr">
        <is>
          <t>Dokumen Penetapan Indikator Kinerja</t>
        </is>
      </c>
      <c r="K455" s="78" t="inlineStr"/>
      <c r="L455" s="29" t="inlineStr">
        <is>
          <t>Ada</t>
        </is>
      </c>
      <c r="M455" s="66" t="inlineStr">
        <is>
          <t>IKU</t>
        </is>
      </c>
      <c r="N455" s="29" t="inlineStr">
        <is>
          <t>Ya</t>
        </is>
      </c>
      <c r="O455" s="29" t="inlineStr">
        <is>
          <t>Ya</t>
        </is>
      </c>
      <c r="P455" s="29" t="inlineStr">
        <is>
          <t>Sesuai</t>
        </is>
      </c>
      <c r="Q455" s="10" t="n"/>
      <c r="R455" s="30">
        <f>IF(OR(L455="",L455="N/A"),"",IF(L455="Tidak Ada",0,IF(P455="","",IF(P455="Tidak Sesuai",0,IF(AND(N455="Ya",O455="Ya",P455="Sesuai"),1,0.5)))))</f>
        <v/>
      </c>
      <c r="S455" s="30">
        <f>IF(L455="N/A","N/A",IF(R455="","Belum dinilai",IF(R455=1,"Memenuhi",IF(R455=0,"Tidak Memenuhi","Memenuhi Sebagian"))))</f>
        <v/>
      </c>
      <c r="T455" s="31" t="inlineStr">
        <is>
          <t>3.5-1</t>
        </is>
      </c>
      <c r="U455" s="63">
        <f>IF(COUNT(R455:R457)=0,"",SUM(R455:R457)/COUNT(R455:R457))</f>
        <v/>
      </c>
    </row>
    <row r="456" ht="27" customHeight="1">
      <c r="A456" s="77" t="n"/>
      <c r="B456" s="77" t="n"/>
      <c r="C456" s="77" t="n"/>
      <c r="D456" s="77" t="n"/>
      <c r="E456" s="33" t="inlineStr">
        <is>
          <t>C</t>
        </is>
      </c>
      <c r="F456" s="77" t="n"/>
      <c r="G456" s="77" t="n"/>
      <c r="H456" s="77" t="n"/>
      <c r="I456" s="28" t="n">
        <v>2</v>
      </c>
      <c r="J456" s="62" t="inlineStr">
        <is>
          <t>Matriks Cascading/Indikator Kinerja</t>
        </is>
      </c>
      <c r="K456" s="78" t="inlineStr"/>
      <c r="L456" s="29" t="inlineStr">
        <is>
          <t>Ada</t>
        </is>
      </c>
      <c r="M456" s="66" t="inlineStr">
        <is>
          <t>Cascading</t>
        </is>
      </c>
      <c r="N456" s="29" t="inlineStr">
        <is>
          <t>Ya</t>
        </is>
      </c>
      <c r="O456" s="29" t="inlineStr">
        <is>
          <t>Ya</t>
        </is>
      </c>
      <c r="P456" s="29" t="inlineStr">
        <is>
          <t>Sesuai</t>
        </is>
      </c>
      <c r="Q456" s="10" t="n"/>
      <c r="R456" s="30">
        <f>IF(OR(L456="",L456="N/A"),"",IF(L456="Tidak Ada",0,IF(P456="","",IF(P456="Tidak Sesuai",0,IF(AND(N456="Ya",O456="Ya",P456="Sesuai"),1,0.5)))))</f>
        <v/>
      </c>
      <c r="S456" s="30">
        <f>IF(L456="N/A","N/A",IF(R456="","Belum dinilai",IF(R456=1,"Memenuhi",IF(R456=0,"Tidak Memenuhi","Memenuhi Sebagian"))))</f>
        <v/>
      </c>
      <c r="T456" s="31" t="inlineStr">
        <is>
          <t>3.5-1</t>
        </is>
      </c>
      <c r="U456" s="77" t="n"/>
    </row>
    <row r="457" ht="27" customHeight="1">
      <c r="A457" s="77" t="n"/>
      <c r="B457" s="77" t="n"/>
      <c r="C457" s="77" t="n"/>
      <c r="D457" s="77" t="n"/>
      <c r="E457" s="33" t="inlineStr">
        <is>
          <t>C</t>
        </is>
      </c>
      <c r="F457" s="79" t="n"/>
      <c r="G457" s="79" t="n"/>
      <c r="H457" s="79" t="n"/>
      <c r="I457" s="28" t="n">
        <v>3</v>
      </c>
      <c r="J457" s="62" t="inlineStr">
        <is>
          <t>Berita Acara Reviu Indikator Kinerja</t>
        </is>
      </c>
      <c r="K457" s="78" t="inlineStr"/>
      <c r="L457" s="29" t="n"/>
      <c r="M457" s="10" t="n"/>
      <c r="N457" s="29" t="n"/>
      <c r="O457" s="29" t="n"/>
      <c r="P457" s="29" t="n"/>
      <c r="Q457" s="10" t="n"/>
      <c r="R457" s="30">
        <f>IF(OR(L457="",L457="N/A"),"",IF(L457="Tidak Ada",0,IF(P457="","",IF(P457="Tidak Sesuai",0,IF(AND(N457="Ya",O457="Ya",P457="Sesuai"),1,0.5)))))</f>
        <v/>
      </c>
      <c r="S457" s="30">
        <f>IF(L457="N/A","N/A",IF(R457="","Belum dinilai",IF(R457=1,"Memenuhi",IF(R457=0,"Tidak Memenuhi","Memenuhi Sebagian"))))</f>
        <v/>
      </c>
      <c r="T457" s="31" t="inlineStr">
        <is>
          <t>3.5-1</t>
        </is>
      </c>
      <c r="U457" s="79" t="n"/>
    </row>
    <row r="458" ht="39" customHeight="1">
      <c r="A458" s="77" t="n"/>
      <c r="B458" s="77" t="n"/>
      <c r="C458" s="77" t="n"/>
      <c r="D458" s="77" t="n"/>
      <c r="E458" s="34" t="inlineStr">
        <is>
          <t>D</t>
        </is>
      </c>
      <c r="F458" s="62" t="inlineStr">
        <is>
          <t>D – Komunikasi &amp; Pemahaman</t>
        </is>
      </c>
      <c r="G458" s="62" t="inlineStr">
        <is>
          <t>Kebijakan/prosedur penetapan dan reviu atas indikator dan ukuran kinerja organisasi dipahami namun belum sepenuhnya diimplementasikan.</t>
        </is>
      </c>
      <c r="H458" s="62" t="inlineStr">
        <is>
          <t>Kebijakan/prosedur penetapan dan reviu atas indikator dan ukuran kinerja organisasi dipahami namun belum sepenuhnya diimplementasikan.</t>
        </is>
      </c>
      <c r="I458" s="28" t="n">
        <v>1</v>
      </c>
      <c r="J458" s="62" t="inlineStr">
        <is>
          <t>Bukti Sosialisasi/Penyampaian Kebijakan Indikator Kinerja</t>
        </is>
      </c>
      <c r="K458" s="78" t="inlineStr"/>
      <c r="L458" s="29" t="n"/>
      <c r="M458" s="10" t="n"/>
      <c r="N458" s="29" t="n"/>
      <c r="O458" s="29" t="n"/>
      <c r="P458" s="29" t="n"/>
      <c r="Q458" s="10" t="n"/>
      <c r="R458" s="30">
        <f>IF(OR(L458="",L458="N/A"),"",IF(L458="Tidak Ada",0,IF(P458="","",IF(P458="Tidak Sesuai",0,IF(AND(N458="Ya",O458="Ya",P458="Sesuai"),1,0.5)))))</f>
        <v/>
      </c>
      <c r="S458" s="30">
        <f>IF(L458="N/A","N/A",IF(R458="","Belum dinilai",IF(R458=1,"Memenuhi",IF(R458=0,"Tidak Memenuhi","Memenuhi Sebagian"))))</f>
        <v/>
      </c>
      <c r="T458" s="31" t="inlineStr">
        <is>
          <t>3.5-1</t>
        </is>
      </c>
      <c r="U458" s="63">
        <f>IF(COUNT(R458:R459)=0,"",SUM(R458:R459)/COUNT(R458:R459))</f>
        <v/>
      </c>
    </row>
    <row r="459" ht="39" customHeight="1">
      <c r="A459" s="77" t="n"/>
      <c r="B459" s="77" t="n"/>
      <c r="C459" s="77" t="n"/>
      <c r="D459" s="77" t="n"/>
      <c r="E459" s="34" t="inlineStr">
        <is>
          <t>D</t>
        </is>
      </c>
      <c r="F459" s="79" t="n"/>
      <c r="G459" s="79" t="n"/>
      <c r="H459" s="79" t="n"/>
      <c r="I459" s="28" t="n">
        <v>2</v>
      </c>
      <c r="J459" s="62" t="inlineStr">
        <is>
          <t>Notulen Reviu Indikator Kinerja</t>
        </is>
      </c>
      <c r="K459" s="78" t="inlineStr"/>
      <c r="L459" s="29" t="n"/>
      <c r="M459" s="10" t="n"/>
      <c r="N459" s="29" t="n"/>
      <c r="O459" s="29" t="n"/>
      <c r="P459" s="29" t="n"/>
      <c r="Q459" s="10" t="n"/>
      <c r="R459" s="30">
        <f>IF(OR(L459="",L459="N/A"),"",IF(L459="Tidak Ada",0,IF(P459="","",IF(P459="Tidak Sesuai",0,IF(AND(N459="Ya",O459="Ya",P459="Sesuai"),1,0.5)))))</f>
        <v/>
      </c>
      <c r="S459" s="30">
        <f>IF(L459="N/A","N/A",IF(R459="","Belum dinilai",IF(R459=1,"Memenuhi",IF(R459=0,"Tidak Memenuhi","Memenuhi Sebagian"))))</f>
        <v/>
      </c>
      <c r="T459" s="31" t="inlineStr">
        <is>
          <t>3.5-1</t>
        </is>
      </c>
      <c r="U459" s="79" t="n"/>
    </row>
    <row r="460" ht="39" customHeight="1">
      <c r="A460" s="77" t="n"/>
      <c r="B460" s="77" t="n"/>
      <c r="C460" s="77" t="n"/>
      <c r="D460" s="77" t="n"/>
      <c r="E460" s="35" t="inlineStr">
        <is>
          <t>E</t>
        </is>
      </c>
      <c r="F460" s="62" t="inlineStr">
        <is>
          <t>E – Kebijakan/Formalitas</t>
        </is>
      </c>
      <c r="G460" s="62" t="inlineStr">
        <is>
          <t>Pimpinan organisasi menetapkan kebijakan/prosedur penetapan dan reviu atas indikator dan ukuran kinerja.</t>
        </is>
      </c>
      <c r="H460" s="62" t="inlineStr">
        <is>
          <t>Pimpinan organisasi menetapkan kebijakan/prosedur penetapan dan reviu atas indikator dan ukuran kinerja.</t>
        </is>
      </c>
      <c r="I460" s="28" t="n">
        <v>1</v>
      </c>
      <c r="J460" s="62" t="inlineStr">
        <is>
          <t>Kebijakan/SOP Penetapan dan Reviu Indikator Kinerja</t>
        </is>
      </c>
      <c r="K460" s="78" t="inlineStr"/>
      <c r="L460" s="29" t="n"/>
      <c r="M460" s="10" t="n"/>
      <c r="N460" s="29" t="n"/>
      <c r="O460" s="29" t="n"/>
      <c r="P460" s="29" t="n"/>
      <c r="Q460" s="10" t="n"/>
      <c r="R460" s="30">
        <f>IF(OR(L460="",L460="N/A"),"",IF(L460="Tidak Ada",0,IF(P460="","",IF(P460="Tidak Sesuai",0,IF(AND(N460="Ya",O460="Ya",P460="Sesuai"),1,0.5)))))</f>
        <v/>
      </c>
      <c r="S460" s="30">
        <f>IF(L460="N/A","N/A",IF(R460="","Belum dinilai",IF(R460=1,"Memenuhi",IF(R460=0,"Tidak Memenuhi","Memenuhi Sebagian"))))</f>
        <v/>
      </c>
      <c r="T460" s="31" t="inlineStr">
        <is>
          <t>3.5-1</t>
        </is>
      </c>
      <c r="U460" s="63">
        <f>IF(COUNT(R460:R461)=0,"",SUM(R460:R461)/COUNT(R460:R461))</f>
        <v/>
      </c>
    </row>
    <row r="461" ht="39" customHeight="1">
      <c r="A461" s="79" t="n"/>
      <c r="B461" s="79" t="n"/>
      <c r="C461" s="79" t="n"/>
      <c r="D461" s="79" t="n"/>
      <c r="E461" s="35" t="inlineStr">
        <is>
          <t>E</t>
        </is>
      </c>
      <c r="F461" s="79" t="n"/>
      <c r="G461" s="79" t="n"/>
      <c r="H461" s="79" t="n"/>
      <c r="I461" s="28" t="n">
        <v>2</v>
      </c>
      <c r="J461" s="62" t="inlineStr">
        <is>
          <t>Dokumen Penetapan IKU/Indikator Kinerja</t>
        </is>
      </c>
      <c r="K461" s="78" t="inlineStr"/>
      <c r="L461" s="29" t="n"/>
      <c r="M461" s="10" t="n"/>
      <c r="N461" s="29" t="n"/>
      <c r="O461" s="29" t="n"/>
      <c r="P461" s="29" t="n"/>
      <c r="Q461" s="10" t="n"/>
      <c r="R461" s="30">
        <f>IF(OR(L461="",L461="N/A"),"",IF(L461="Tidak Ada",0,IF(P461="","",IF(P461="Tidak Sesuai",0,IF(AND(N461="Ya",O461="Ya",P461="Sesuai"),1,0.5)))))</f>
        <v/>
      </c>
      <c r="S461" s="30">
        <f>IF(L461="N/A","N/A",IF(R461="","Belum dinilai",IF(R461=1,"Memenuhi",IF(R461=0,"Tidak Memenuhi","Memenuhi Sebagian"))))</f>
        <v/>
      </c>
      <c r="T461" s="31" t="inlineStr">
        <is>
          <t>3.5-1</t>
        </is>
      </c>
      <c r="U461" s="79" t="n"/>
    </row>
    <row r="462" ht="27" customHeight="1">
      <c r="A462" s="56" t="inlineStr">
        <is>
          <t>3.6</t>
        </is>
      </c>
      <c r="B462" s="57" t="inlineStr">
        <is>
          <t>Pemisahan Fungsi</t>
        </is>
      </c>
      <c r="C462" s="58" t="n">
        <v>1</v>
      </c>
      <c r="D462" s="59" t="inlineStr">
        <is>
          <t>Terdapat pemisahan fungsi sehingga seluruh aspek utama transaksi dan kejadian tidak dikendalikan hanya oleh satu orang</t>
        </is>
      </c>
      <c r="E462" s="21" t="inlineStr">
        <is>
          <t>A</t>
        </is>
      </c>
      <c r="F462" s="60" t="inlineStr">
        <is>
          <t>A – Perbaikan Berkelanjutan</t>
        </is>
      </c>
      <c r="G462" s="60" t="inlineStr">
        <is>
          <t>Pemisahan fungsi telah diperbaiki secara berkelanjutan dan secara optimal mampu mendukung pencapaian tujuan organisasi</t>
        </is>
      </c>
      <c r="H462" s="60" t="inlineStr">
        <is>
          <t>Pemisahan fungsi telah diperbaiki secara berkelanjutan dan secara optimal mampu mendukung pencapaian tujuan organisasi</t>
        </is>
      </c>
      <c r="I462" s="22" t="n">
        <v>1</v>
      </c>
      <c r="J462" s="60" t="inlineStr">
        <is>
          <t>Laporan Evaluasi Pemisahan Fungsi</t>
        </is>
      </c>
      <c r="K462" s="76" t="inlineStr"/>
      <c r="L462" s="23" t="n"/>
      <c r="M462" s="24" t="n"/>
      <c r="N462" s="23" t="n"/>
      <c r="O462" s="23" t="n"/>
      <c r="P462" s="23" t="n"/>
      <c r="Q462" s="24" t="n"/>
      <c r="R462" s="25">
        <f>IF(OR(L462="",L462="N/A"),"",IF(L462="Tidak Ada",0,IF(P462="","",IF(P462="Tidak Sesuai",0,IF(AND(N462="Ya",O462="Ya",P462="Sesuai"),1,0.5)))))</f>
        <v/>
      </c>
      <c r="S462" s="25">
        <f>IF(L462="N/A","N/A",IF(R462="","Belum dinilai",IF(R462=1,"Memenuhi",IF(R462=0,"Tidak Memenuhi","Memenuhi Sebagian"))))</f>
        <v/>
      </c>
      <c r="T462" s="26" t="inlineStr">
        <is>
          <t>3.6-1</t>
        </is>
      </c>
      <c r="U462" s="61">
        <f>IF(COUNT(R462:R464)=0,"",SUM(R462:R464)/COUNT(R462:R464))</f>
        <v/>
      </c>
    </row>
    <row r="463" ht="27" customHeight="1">
      <c r="A463" s="77" t="n"/>
      <c r="B463" s="77" t="n"/>
      <c r="C463" s="77" t="n"/>
      <c r="D463" s="77" t="n"/>
      <c r="E463" s="27" t="inlineStr">
        <is>
          <t>A</t>
        </is>
      </c>
      <c r="F463" s="77" t="n"/>
      <c r="G463" s="77" t="n"/>
      <c r="H463" s="77" t="n"/>
      <c r="I463" s="28" t="n">
        <v>2</v>
      </c>
      <c r="J463" s="62" t="inlineStr">
        <is>
          <t>Matriks Tindak Lanjut</t>
        </is>
      </c>
      <c r="K463" s="78" t="inlineStr"/>
      <c r="L463" s="29" t="n"/>
      <c r="M463" s="10" t="n"/>
      <c r="N463" s="29" t="n"/>
      <c r="O463" s="29" t="n"/>
      <c r="P463" s="29" t="n"/>
      <c r="Q463" s="10" t="n"/>
      <c r="R463" s="30">
        <f>IF(OR(L463="",L463="N/A"),"",IF(L463="Tidak Ada",0,IF(P463="","",IF(P463="Tidak Sesuai",0,IF(AND(N463="Ya",O463="Ya",P463="Sesuai"),1,0.5)))))</f>
        <v/>
      </c>
      <c r="S463" s="30">
        <f>IF(L463="N/A","N/A",IF(R463="","Belum dinilai",IF(R463=1,"Memenuhi",IF(R463=0,"Tidak Memenuhi","Memenuhi Sebagian"))))</f>
        <v/>
      </c>
      <c r="T463" s="31" t="inlineStr">
        <is>
          <t>3.6-1</t>
        </is>
      </c>
      <c r="U463" s="77" t="n"/>
    </row>
    <row r="464" ht="27" customHeight="1">
      <c r="A464" s="77" t="n"/>
      <c r="B464" s="77" t="n"/>
      <c r="C464" s="77" t="n"/>
      <c r="D464" s="77" t="n"/>
      <c r="E464" s="27" t="inlineStr">
        <is>
          <t>A</t>
        </is>
      </c>
      <c r="F464" s="79" t="n"/>
      <c r="G464" s="79" t="n"/>
      <c r="H464" s="79" t="n"/>
      <c r="I464" s="28" t="n">
        <v>3</v>
      </c>
      <c r="J464" s="62" t="inlineStr">
        <is>
          <t>Dokumen Perbaikan Proses/SOP Pemisahan Fungsi</t>
        </is>
      </c>
      <c r="K464" s="78" t="inlineStr"/>
      <c r="L464" s="29" t="n"/>
      <c r="M464" s="10" t="n"/>
      <c r="N464" s="29" t="n"/>
      <c r="O464" s="29" t="n"/>
      <c r="P464" s="29" t="n"/>
      <c r="Q464" s="10" t="n"/>
      <c r="R464" s="30">
        <f>IF(OR(L464="",L464="N/A"),"",IF(L464="Tidak Ada",0,IF(P464="","",IF(P464="Tidak Sesuai",0,IF(AND(N464="Ya",O464="Ya",P464="Sesuai"),1,0.5)))))</f>
        <v/>
      </c>
      <c r="S464" s="30">
        <f>IF(L464="N/A","N/A",IF(R464="","Belum dinilai",IF(R464=1,"Memenuhi",IF(R464=0,"Tidak Memenuhi","Memenuhi Sebagian"))))</f>
        <v/>
      </c>
      <c r="T464" s="31" t="inlineStr">
        <is>
          <t>3.6-1</t>
        </is>
      </c>
      <c r="U464" s="79" t="n"/>
    </row>
    <row r="465" ht="27" customHeight="1">
      <c r="A465" s="77" t="n"/>
      <c r="B465" s="77" t="n"/>
      <c r="C465" s="77" t="n"/>
      <c r="D465" s="77" t="n"/>
      <c r="E465" s="32" t="inlineStr">
        <is>
          <t>B</t>
        </is>
      </c>
      <c r="F465" s="62" t="inlineStr">
        <is>
          <t>B – Evaluasi &amp; Tindak Lanjut</t>
        </is>
      </c>
      <c r="G465" s="62" t="inlineStr">
        <is>
          <t>Kebijakan dan implementasi terkait pemisahan fungsi dalam proses transaksi dan kejadian telah dievaluasi sehingga dapat diketahui efektivitasnya</t>
        </is>
      </c>
      <c r="H465" s="62" t="inlineStr">
        <is>
          <t>Kebijakan dan implementasi terkait pemisahan fungsi dalam proses transaksi dan kejadian telah dievaluasi sehingga dapat diketahui efektivitasnya</t>
        </is>
      </c>
      <c r="I465" s="28" t="n">
        <v>1</v>
      </c>
      <c r="J465" s="62" t="inlineStr">
        <is>
          <t>Laporan Evaluasi Pemisahan Fungsi</t>
        </is>
      </c>
      <c r="K465" s="78" t="inlineStr"/>
      <c r="L465" s="29" t="n"/>
      <c r="M465" s="10" t="n"/>
      <c r="N465" s="29" t="n"/>
      <c r="O465" s="29" t="n"/>
      <c r="P465" s="29" t="n"/>
      <c r="Q465" s="10" t="n"/>
      <c r="R465" s="30">
        <f>IF(OR(L465="",L465="N/A"),"",IF(L465="Tidak Ada",0,IF(P465="","",IF(P465="Tidak Sesuai",0,IF(AND(N465="Ya",O465="Ya",P465="Sesuai"),1,0.5)))))</f>
        <v/>
      </c>
      <c r="S465" s="30">
        <f>IF(L465="N/A","N/A",IF(R465="","Belum dinilai",IF(R465=1,"Memenuhi",IF(R465=0,"Tidak Memenuhi","Memenuhi Sebagian"))))</f>
        <v/>
      </c>
      <c r="T465" s="31" t="inlineStr">
        <is>
          <t>3.6-1</t>
        </is>
      </c>
      <c r="U465" s="63">
        <f>IF(COUNT(R465:R467)=0,"",SUM(R465:R467)/COUNT(R465:R467))</f>
        <v/>
      </c>
    </row>
    <row r="466" ht="27" customHeight="1">
      <c r="A466" s="77" t="n"/>
      <c r="B466" s="77" t="n"/>
      <c r="C466" s="77" t="n"/>
      <c r="D466" s="77" t="n"/>
      <c r="E466" s="32" t="inlineStr">
        <is>
          <t>B</t>
        </is>
      </c>
      <c r="F466" s="77" t="n"/>
      <c r="G466" s="77" t="n"/>
      <c r="H466" s="77" t="n"/>
      <c r="I466" s="28" t="n">
        <v>2</v>
      </c>
      <c r="J466" s="62" t="inlineStr">
        <is>
          <t>Hasil Monitoring Pemisahan Fungsi</t>
        </is>
      </c>
      <c r="K466" s="78" t="inlineStr"/>
      <c r="L466" s="29" t="n"/>
      <c r="M466" s="10" t="n"/>
      <c r="N466" s="29" t="n"/>
      <c r="O466" s="29" t="n"/>
      <c r="P466" s="29" t="n"/>
      <c r="Q466" s="10" t="n"/>
      <c r="R466" s="30">
        <f>IF(OR(L466="",L466="N/A"),"",IF(L466="Tidak Ada",0,IF(P466="","",IF(P466="Tidak Sesuai",0,IF(AND(N466="Ya",O466="Ya",P466="Sesuai"),1,0.5)))))</f>
        <v/>
      </c>
      <c r="S466" s="30">
        <f>IF(L466="N/A","N/A",IF(R466="","Belum dinilai",IF(R466=1,"Memenuhi",IF(R466=0,"Tidak Memenuhi","Memenuhi Sebagian"))))</f>
        <v/>
      </c>
      <c r="T466" s="31" t="inlineStr">
        <is>
          <t>3.6-1</t>
        </is>
      </c>
      <c r="U466" s="77" t="n"/>
    </row>
    <row r="467" ht="27" customHeight="1">
      <c r="A467" s="77" t="n"/>
      <c r="B467" s="77" t="n"/>
      <c r="C467" s="77" t="n"/>
      <c r="D467" s="77" t="n"/>
      <c r="E467" s="32" t="inlineStr">
        <is>
          <t>B</t>
        </is>
      </c>
      <c r="F467" s="79" t="n"/>
      <c r="G467" s="79" t="n"/>
      <c r="H467" s="79" t="n"/>
      <c r="I467" s="28" t="n">
        <v>3</v>
      </c>
      <c r="J467" s="62" t="inlineStr">
        <is>
          <t>Matriks Tindak Lanjut</t>
        </is>
      </c>
      <c r="K467" s="78" t="inlineStr"/>
      <c r="L467" s="29" t="n"/>
      <c r="M467" s="10" t="n"/>
      <c r="N467" s="29" t="n"/>
      <c r="O467" s="29" t="n"/>
      <c r="P467" s="29" t="n"/>
      <c r="Q467" s="10" t="n"/>
      <c r="R467" s="30">
        <f>IF(OR(L467="",L467="N/A"),"",IF(L467="Tidak Ada",0,IF(P467="","",IF(P467="Tidak Sesuai",0,IF(AND(N467="Ya",O467="Ya",P467="Sesuai"),1,0.5)))))</f>
        <v/>
      </c>
      <c r="S467" s="30">
        <f>IF(L467="N/A","N/A",IF(R467="","Belum dinilai",IF(R467=1,"Memenuhi",IF(R467=0,"Tidak Memenuhi","Memenuhi Sebagian"))))</f>
        <v/>
      </c>
      <c r="T467" s="31" t="inlineStr">
        <is>
          <t>3.6-1</t>
        </is>
      </c>
      <c r="U467" s="79" t="n"/>
    </row>
    <row r="468" ht="27" customHeight="1">
      <c r="A468" s="77" t="n"/>
      <c r="B468" s="77" t="n"/>
      <c r="C468" s="77" t="n"/>
      <c r="D468" s="77" t="n"/>
      <c r="E468" s="33" t="inlineStr">
        <is>
          <t>C</t>
        </is>
      </c>
      <c r="F468" s="62" t="inlineStr">
        <is>
          <t>C – Implementasi</t>
        </is>
      </c>
      <c r="G468" s="62" t="inlineStr">
        <is>
          <t>Pemisahan fungsi dalam proses transaksi dan kejadian telah dilaksanakan sesuai kebijakan/prosedur yang ditetapkan</t>
        </is>
      </c>
      <c r="H468" s="62" t="inlineStr">
        <is>
          <t>Pemisahan fungsi dalam proses transaksi dan kejadian telah dilaksanakan sesuai kebijakan/prosedur yang ditetapkan</t>
        </is>
      </c>
      <c r="I468" s="28" t="n">
        <v>1</v>
      </c>
      <c r="J468" s="62" t="inlineStr">
        <is>
          <t>SK/Surat Tugas Pembagian/Pemisahan Fungsi</t>
        </is>
      </c>
      <c r="K468" s="78" t="inlineStr"/>
      <c r="L468" s="29" t="inlineStr">
        <is>
          <t>Ada</t>
        </is>
      </c>
      <c r="M468" s="66" t="inlineStr">
        <is>
          <t>Sk PPTK</t>
        </is>
      </c>
      <c r="N468" s="29" t="inlineStr">
        <is>
          <t>Ya</t>
        </is>
      </c>
      <c r="O468" s="29" t="inlineStr">
        <is>
          <t>Ya</t>
        </is>
      </c>
      <c r="P468" s="29" t="inlineStr">
        <is>
          <t>Sesuai</t>
        </is>
      </c>
      <c r="Q468" s="10" t="n"/>
      <c r="R468" s="30">
        <f>IF(OR(L468="",L468="N/A"),"",IF(L468="Tidak Ada",0,IF(P468="","",IF(P468="Tidak Sesuai",0,IF(AND(N468="Ya",O468="Ya",P468="Sesuai"),1,0.5)))))</f>
        <v/>
      </c>
      <c r="S468" s="30">
        <f>IF(L468="N/A","N/A",IF(R468="","Belum dinilai",IF(R468=1,"Memenuhi",IF(R468=0,"Tidak Memenuhi","Memenuhi Sebagian"))))</f>
        <v/>
      </c>
      <c r="T468" s="31" t="inlineStr">
        <is>
          <t>3.6-1</t>
        </is>
      </c>
      <c r="U468" s="63">
        <f>IF(COUNT(R468:R470)=0,"",SUM(R468:R470)/COUNT(R468:R470))</f>
        <v/>
      </c>
    </row>
    <row r="469" ht="27" customHeight="1">
      <c r="A469" s="77" t="n"/>
      <c r="B469" s="77" t="n"/>
      <c r="C469" s="77" t="n"/>
      <c r="D469" s="77" t="n"/>
      <c r="E469" s="33" t="inlineStr">
        <is>
          <t>C</t>
        </is>
      </c>
      <c r="F469" s="77" t="n"/>
      <c r="G469" s="77" t="n"/>
      <c r="H469" s="77" t="n"/>
      <c r="I469" s="28" t="n">
        <v>2</v>
      </c>
      <c r="J469" s="74" t="inlineStr">
        <is>
          <t>SOP Proses Transaksi</t>
        </is>
      </c>
      <c r="K469" s="81" t="inlineStr"/>
      <c r="L469" s="29" t="n"/>
      <c r="M469" s="10" t="n"/>
      <c r="N469" s="29" t="n"/>
      <c r="O469" s="29" t="n"/>
      <c r="P469" s="29" t="n"/>
      <c r="Q469" s="10" t="n"/>
      <c r="R469" s="30">
        <f>IF(OR(L469="",L469="N/A"),"",IF(L469="Tidak Ada",0,IF(P469="","",IF(P469="Tidak Sesuai",0,IF(AND(N469="Ya",O469="Ya",P469="Sesuai"),1,0.5)))))</f>
        <v/>
      </c>
      <c r="S469" s="30">
        <f>IF(L469="N/A","N/A",IF(R469="","Belum dinilai",IF(R469=1,"Memenuhi",IF(R469=0,"Tidak Memenuhi","Memenuhi Sebagian"))))</f>
        <v/>
      </c>
      <c r="T469" s="31" t="inlineStr">
        <is>
          <t>3.6-1</t>
        </is>
      </c>
      <c r="U469" s="77" t="n"/>
    </row>
    <row r="470" ht="27" customHeight="1">
      <c r="A470" s="77" t="n"/>
      <c r="B470" s="77" t="n"/>
      <c r="C470" s="77" t="n"/>
      <c r="D470" s="77" t="n"/>
      <c r="E470" s="33" t="inlineStr">
        <is>
          <t>C</t>
        </is>
      </c>
      <c r="F470" s="79" t="n"/>
      <c r="G470" s="79" t="n"/>
      <c r="H470" s="79" t="n"/>
      <c r="I470" s="28" t="n">
        <v>3</v>
      </c>
      <c r="J470" s="62" t="inlineStr">
        <is>
          <t>Struktur/Pembagian Tugas</t>
        </is>
      </c>
      <c r="K470" s="78" t="inlineStr"/>
      <c r="L470" s="29" t="n"/>
      <c r="M470" s="10" t="n"/>
      <c r="N470" s="29" t="n"/>
      <c r="O470" s="29" t="n"/>
      <c r="P470" s="29" t="n"/>
      <c r="Q470" s="10" t="n"/>
      <c r="R470" s="30">
        <f>IF(OR(L470="",L470="N/A"),"",IF(L470="Tidak Ada",0,IF(P470="","",IF(P470="Tidak Sesuai",0,IF(AND(N470="Ya",O470="Ya",P470="Sesuai"),1,0.5)))))</f>
        <v/>
      </c>
      <c r="S470" s="30">
        <f>IF(L470="N/A","N/A",IF(R470="","Belum dinilai",IF(R470=1,"Memenuhi",IF(R470=0,"Tidak Memenuhi","Memenuhi Sebagian"))))</f>
        <v/>
      </c>
      <c r="T470" s="31" t="inlineStr">
        <is>
          <t>3.6-1</t>
        </is>
      </c>
      <c r="U470" s="79" t="n"/>
    </row>
    <row r="471" ht="39" customHeight="1">
      <c r="A471" s="77" t="n"/>
      <c r="B471" s="77" t="n"/>
      <c r="C471" s="77" t="n"/>
      <c r="D471" s="77" t="n"/>
      <c r="E471" s="34" t="inlineStr">
        <is>
          <t>D</t>
        </is>
      </c>
      <c r="F471" s="62" t="inlineStr">
        <is>
          <t>D – Komunikasi &amp; Pemahaman</t>
        </is>
      </c>
      <c r="G471" s="62" t="inlineStr">
        <is>
          <t>Kebijakan terkait pemisahan fungsi dalam proses transaksi dan kejadian telah dikomunikasikan dan dipahami oleh pihak yang berkepentingan</t>
        </is>
      </c>
      <c r="H471" s="62" t="inlineStr">
        <is>
          <t>Kebijakan terkait pemisahan fungsi dalam proses transaksi dan kejadian telah dikomunikasikan dan dipahami oleh pihak yang berkepentingan</t>
        </is>
      </c>
      <c r="I471" s="28" t="n">
        <v>1</v>
      </c>
      <c r="J471" s="62" t="inlineStr">
        <is>
          <t>Bukti Sosialisasi Pembagian/Pemisahan Fungsi</t>
        </is>
      </c>
      <c r="K471" s="78" t="inlineStr"/>
      <c r="L471" s="29" t="n"/>
      <c r="M471" s="10" t="n"/>
      <c r="N471" s="29" t="n"/>
      <c r="O471" s="29" t="n"/>
      <c r="P471" s="29" t="n"/>
      <c r="Q471" s="10" t="n"/>
      <c r="R471" s="30">
        <f>IF(OR(L471="",L471="N/A"),"",IF(L471="Tidak Ada",0,IF(P471="","",IF(P471="Tidak Sesuai",0,IF(AND(N471="Ya",O471="Ya",P471="Sesuai"),1,0.5)))))</f>
        <v/>
      </c>
      <c r="S471" s="30">
        <f>IF(L471="N/A","N/A",IF(R471="","Belum dinilai",IF(R471=1,"Memenuhi",IF(R471=0,"Tidak Memenuhi","Memenuhi Sebagian"))))</f>
        <v/>
      </c>
      <c r="T471" s="31" t="inlineStr">
        <is>
          <t>3.6-1</t>
        </is>
      </c>
      <c r="U471" s="63">
        <f>IF(COUNT(R471:R472)=0,"",SUM(R471:R472)/COUNT(R471:R472))</f>
        <v/>
      </c>
    </row>
    <row r="472" ht="39" customHeight="1">
      <c r="A472" s="77" t="n"/>
      <c r="B472" s="77" t="n"/>
      <c r="C472" s="77" t="n"/>
      <c r="D472" s="77" t="n"/>
      <c r="E472" s="34" t="inlineStr">
        <is>
          <t>D</t>
        </is>
      </c>
      <c r="F472" s="79" t="n"/>
      <c r="G472" s="79" t="n"/>
      <c r="H472" s="79" t="n"/>
      <c r="I472" s="28" t="n">
        <v>2</v>
      </c>
      <c r="J472" s="62" t="inlineStr">
        <is>
          <t>Daftar Tugas dan Wewenang</t>
        </is>
      </c>
      <c r="K472" s="78" t="inlineStr"/>
      <c r="L472" s="29" t="n"/>
      <c r="M472" s="10" t="n"/>
      <c r="N472" s="29" t="n"/>
      <c r="O472" s="29" t="n"/>
      <c r="P472" s="29" t="n"/>
      <c r="Q472" s="10" t="n"/>
      <c r="R472" s="30">
        <f>IF(OR(L472="",L472="N/A"),"",IF(L472="Tidak Ada",0,IF(P472="","",IF(P472="Tidak Sesuai",0,IF(AND(N472="Ya",O472="Ya",P472="Sesuai"),1,0.5)))))</f>
        <v/>
      </c>
      <c r="S472" s="30">
        <f>IF(L472="N/A","N/A",IF(R472="","Belum dinilai",IF(R472=1,"Memenuhi",IF(R472=0,"Tidak Memenuhi","Memenuhi Sebagian"))))</f>
        <v/>
      </c>
      <c r="T472" s="31" t="inlineStr">
        <is>
          <t>3.6-1</t>
        </is>
      </c>
      <c r="U472" s="79" t="n"/>
    </row>
    <row r="473" ht="27" customHeight="1">
      <c r="A473" s="77" t="n"/>
      <c r="B473" s="77" t="n"/>
      <c r="C473" s="77" t="n"/>
      <c r="D473" s="77" t="n"/>
      <c r="E473" s="35" t="inlineStr">
        <is>
          <t>E</t>
        </is>
      </c>
      <c r="F473" s="62" t="inlineStr">
        <is>
          <t>E – Kebijakan/Formalitas</t>
        </is>
      </c>
      <c r="G473" s="62" t="inlineStr">
        <is>
          <t>Terdapat kebijakan yang mengatur pemisahan fungsi dalam proses transaksi dan kejadian</t>
        </is>
      </c>
      <c r="H473" s="62" t="inlineStr">
        <is>
          <t>Terdapat kebijakan yang mengatur pemisahan fungsi dalam proses transaksi dan kejadian</t>
        </is>
      </c>
      <c r="I473" s="28" t="n">
        <v>1</v>
      </c>
      <c r="J473" s="62" t="inlineStr">
        <is>
          <t>Kebijakan/SOP Pembagian dan Pemisahan Fungsi</t>
        </is>
      </c>
      <c r="K473" s="78" t="inlineStr"/>
      <c r="L473" s="29" t="n"/>
      <c r="M473" s="10" t="n"/>
      <c r="N473" s="29" t="n"/>
      <c r="O473" s="29" t="n"/>
      <c r="P473" s="29" t="n"/>
      <c r="Q473" s="10" t="n"/>
      <c r="R473" s="30">
        <f>IF(OR(L473="",L473="N/A"),"",IF(L473="Tidak Ada",0,IF(P473="","",IF(P473="Tidak Sesuai",0,IF(AND(N473="Ya",O473="Ya",P473="Sesuai"),1,0.5)))))</f>
        <v/>
      </c>
      <c r="S473" s="30">
        <f>IF(L473="N/A","N/A",IF(R473="","Belum dinilai",IF(R473=1,"Memenuhi",IF(R473=0,"Tidak Memenuhi","Memenuhi Sebagian"))))</f>
        <v/>
      </c>
      <c r="T473" s="31" t="inlineStr">
        <is>
          <t>3.6-1</t>
        </is>
      </c>
      <c r="U473" s="63">
        <f>IF(COUNT(R473:R474)=0,"",SUM(R473:R474)/COUNT(R473:R474))</f>
        <v/>
      </c>
    </row>
    <row r="474" ht="27" customHeight="1">
      <c r="A474" s="79" t="n"/>
      <c r="B474" s="79" t="n"/>
      <c r="C474" s="79" t="n"/>
      <c r="D474" s="79" t="n"/>
      <c r="E474" s="35" t="inlineStr">
        <is>
          <t>E</t>
        </is>
      </c>
      <c r="F474" s="79" t="n"/>
      <c r="G474" s="79" t="n"/>
      <c r="H474" s="79" t="n"/>
      <c r="I474" s="28" t="n">
        <v>2</v>
      </c>
      <c r="J474" s="62" t="inlineStr">
        <is>
          <t>SK Pembagian Tugas/Wewenang</t>
        </is>
      </c>
      <c r="K474" s="78" t="inlineStr"/>
      <c r="L474" s="29" t="n"/>
      <c r="M474" s="10" t="n"/>
      <c r="N474" s="29" t="n"/>
      <c r="O474" s="29" t="n"/>
      <c r="P474" s="29" t="n"/>
      <c r="Q474" s="10" t="n"/>
      <c r="R474" s="30">
        <f>IF(OR(L474="",L474="N/A"),"",IF(L474="Tidak Ada",0,IF(P474="","",IF(P474="Tidak Sesuai",0,IF(AND(N474="Ya",O474="Ya",P474="Sesuai"),1,0.5)))))</f>
        <v/>
      </c>
      <c r="S474" s="30">
        <f>IF(L474="N/A","N/A",IF(R474="","Belum dinilai",IF(R474=1,"Memenuhi",IF(R474=0,"Tidak Memenuhi","Memenuhi Sebagian"))))</f>
        <v/>
      </c>
      <c r="T474" s="31" t="inlineStr">
        <is>
          <t>3.6-1</t>
        </is>
      </c>
      <c r="U474" s="79" t="n"/>
    </row>
    <row r="475" ht="27" customHeight="1">
      <c r="A475" s="56" t="inlineStr">
        <is>
          <t>3.7</t>
        </is>
      </c>
      <c r="B475" s="57" t="inlineStr">
        <is>
          <t>Otorisasi atas Transaksi dan Kejadian yang Penting</t>
        </is>
      </c>
      <c r="C475" s="58" t="n">
        <v>1</v>
      </c>
      <c r="D475" s="59" t="inlineStr">
        <is>
          <t>Terdapat proses untuk memastikan transaksi dan kejadian penting hanya dapat diotorisasi ketika memenuhi persyaratan dan dilakukan oleh pihak yang memiliki kewenangan</t>
        </is>
      </c>
      <c r="E475" s="21" t="inlineStr">
        <is>
          <t>A</t>
        </is>
      </c>
      <c r="F475" s="60" t="inlineStr">
        <is>
          <t>A – Perbaikan Berkelanjutan</t>
        </is>
      </c>
      <c r="G475" s="60" t="inlineStr">
        <is>
          <t>Proses otorisasi atas transaksi dan kejadian telah diperbaiki secara berkelanjutan dan secara optimal mampu mendukung pencapaian tujuan organisasi</t>
        </is>
      </c>
      <c r="H475" s="60" t="inlineStr">
        <is>
          <t>Proses otorisasi atas transaksi dan kejadian telah diperbaiki secara berkelanjutan dan secara optimal mampu mendukung pencapaian tujuan organisasi</t>
        </is>
      </c>
      <c r="I475" s="22" t="n">
        <v>1</v>
      </c>
      <c r="J475" s="60" t="inlineStr">
        <is>
          <t>Laporan Evaluasi Proses Otorisasi</t>
        </is>
      </c>
      <c r="K475" s="76" t="inlineStr"/>
      <c r="L475" s="23" t="n"/>
      <c r="M475" s="24" t="n"/>
      <c r="N475" s="23" t="n"/>
      <c r="O475" s="23" t="n"/>
      <c r="P475" s="23" t="n"/>
      <c r="Q475" s="24" t="n"/>
      <c r="R475" s="25">
        <f>IF(OR(L475="",L475="N/A"),"",IF(L475="Tidak Ada",0,IF(P475="","",IF(P475="Tidak Sesuai",0,IF(AND(N475="Ya",O475="Ya",P475="Sesuai"),1,0.5)))))</f>
        <v/>
      </c>
      <c r="S475" s="25">
        <f>IF(L475="N/A","N/A",IF(R475="","Belum dinilai",IF(R475=1,"Memenuhi",IF(R475=0,"Tidak Memenuhi","Memenuhi Sebagian"))))</f>
        <v/>
      </c>
      <c r="T475" s="26" t="inlineStr">
        <is>
          <t>3.7-1</t>
        </is>
      </c>
      <c r="U475" s="61">
        <f>IF(COUNT(R475:R477)=0,"",SUM(R475:R477)/COUNT(R475:R477))</f>
        <v/>
      </c>
    </row>
    <row r="476" ht="27" customHeight="1">
      <c r="A476" s="77" t="n"/>
      <c r="B476" s="77" t="n"/>
      <c r="C476" s="77" t="n"/>
      <c r="D476" s="77" t="n"/>
      <c r="E476" s="27" t="inlineStr">
        <is>
          <t>A</t>
        </is>
      </c>
      <c r="F476" s="77" t="n"/>
      <c r="G476" s="77" t="n"/>
      <c r="H476" s="77" t="n"/>
      <c r="I476" s="28" t="n">
        <v>2</v>
      </c>
      <c r="J476" s="62" t="inlineStr">
        <is>
          <t>Matriks Tindak Lanjut</t>
        </is>
      </c>
      <c r="K476" s="78" t="inlineStr"/>
      <c r="L476" s="29" t="n"/>
      <c r="M476" s="10" t="n"/>
      <c r="N476" s="29" t="n"/>
      <c r="O476" s="29" t="n"/>
      <c r="P476" s="29" t="n"/>
      <c r="Q476" s="10" t="n"/>
      <c r="R476" s="30">
        <f>IF(OR(L476="",L476="N/A"),"",IF(L476="Tidak Ada",0,IF(P476="","",IF(P476="Tidak Sesuai",0,IF(AND(N476="Ya",O476="Ya",P476="Sesuai"),1,0.5)))))</f>
        <v/>
      </c>
      <c r="S476" s="30">
        <f>IF(L476="N/A","N/A",IF(R476="","Belum dinilai",IF(R476=1,"Memenuhi",IF(R476=0,"Tidak Memenuhi","Memenuhi Sebagian"))))</f>
        <v/>
      </c>
      <c r="T476" s="31" t="inlineStr">
        <is>
          <t>3.7-1</t>
        </is>
      </c>
      <c r="U476" s="77" t="n"/>
    </row>
    <row r="477" ht="27" customHeight="1">
      <c r="A477" s="77" t="n"/>
      <c r="B477" s="77" t="n"/>
      <c r="C477" s="77" t="n"/>
      <c r="D477" s="77" t="n"/>
      <c r="E477" s="27" t="inlineStr">
        <is>
          <t>A</t>
        </is>
      </c>
      <c r="F477" s="79" t="n"/>
      <c r="G477" s="79" t="n"/>
      <c r="H477" s="79" t="n"/>
      <c r="I477" s="28" t="n">
        <v>3</v>
      </c>
      <c r="J477" s="62" t="inlineStr">
        <is>
          <t>Dokumen Perbaikan SOP/Mekanisme Otorisasi</t>
        </is>
      </c>
      <c r="K477" s="78" t="inlineStr"/>
      <c r="L477" s="29" t="n"/>
      <c r="M477" s="10" t="n"/>
      <c r="N477" s="29" t="n"/>
      <c r="O477" s="29" t="n"/>
      <c r="P477" s="29" t="n"/>
      <c r="Q477" s="10" t="n"/>
      <c r="R477" s="30">
        <f>IF(OR(L477="",L477="N/A"),"",IF(L477="Tidak Ada",0,IF(P477="","",IF(P477="Tidak Sesuai",0,IF(AND(N477="Ya",O477="Ya",P477="Sesuai"),1,0.5)))))</f>
        <v/>
      </c>
      <c r="S477" s="30">
        <f>IF(L477="N/A","N/A",IF(R477="","Belum dinilai",IF(R477=1,"Memenuhi",IF(R477=0,"Tidak Memenuhi","Memenuhi Sebagian"))))</f>
        <v/>
      </c>
      <c r="T477" s="31" t="inlineStr">
        <is>
          <t>3.7-1</t>
        </is>
      </c>
      <c r="U477" s="79" t="n"/>
    </row>
    <row r="478" ht="27" customHeight="1">
      <c r="A478" s="77" t="n"/>
      <c r="B478" s="77" t="n"/>
      <c r="C478" s="77" t="n"/>
      <c r="D478" s="77" t="n"/>
      <c r="E478" s="32" t="inlineStr">
        <is>
          <t>B</t>
        </is>
      </c>
      <c r="F478" s="62" t="inlineStr">
        <is>
          <t>B – Evaluasi &amp; Tindak Lanjut</t>
        </is>
      </c>
      <c r="G478" s="62" t="inlineStr">
        <is>
          <t>Kebijakan dan implementasi terkait otorisasi atas transaksi dan kejadian telah dievaluasi sehingga dapat diketahui efektivitasnya</t>
        </is>
      </c>
      <c r="H478" s="62" t="inlineStr">
        <is>
          <t>Kebijakan dan implementasi terkait otorisasi atas transaksi dan kejadian telah dievaluasi sehingga dapat diketahui efektivitasnya</t>
        </is>
      </c>
      <c r="I478" s="28" t="n">
        <v>1</v>
      </c>
      <c r="J478" s="62" t="inlineStr">
        <is>
          <t>Laporan Evaluasi Otorisasi Transaksi</t>
        </is>
      </c>
      <c r="K478" s="78" t="inlineStr"/>
      <c r="L478" s="29" t="n"/>
      <c r="M478" s="10" t="n"/>
      <c r="N478" s="29" t="n"/>
      <c r="O478" s="29" t="n"/>
      <c r="P478" s="29" t="n"/>
      <c r="Q478" s="10" t="n"/>
      <c r="R478" s="30">
        <f>IF(OR(L478="",L478="N/A"),"",IF(L478="Tidak Ada",0,IF(P478="","",IF(P478="Tidak Sesuai",0,IF(AND(N478="Ya",O478="Ya",P478="Sesuai"),1,0.5)))))</f>
        <v/>
      </c>
      <c r="S478" s="30">
        <f>IF(L478="N/A","N/A",IF(R478="","Belum dinilai",IF(R478=1,"Memenuhi",IF(R478=0,"Tidak Memenuhi","Memenuhi Sebagian"))))</f>
        <v/>
      </c>
      <c r="T478" s="31" t="inlineStr">
        <is>
          <t>3.7-1</t>
        </is>
      </c>
      <c r="U478" s="63">
        <f>IF(COUNT(R478:R480)=0,"",SUM(R478:R480)/COUNT(R478:R480))</f>
        <v/>
      </c>
    </row>
    <row r="479" ht="27" customHeight="1">
      <c r="A479" s="77" t="n"/>
      <c r="B479" s="77" t="n"/>
      <c r="C479" s="77" t="n"/>
      <c r="D479" s="77" t="n"/>
      <c r="E479" s="32" t="inlineStr">
        <is>
          <t>B</t>
        </is>
      </c>
      <c r="F479" s="77" t="n"/>
      <c r="G479" s="77" t="n"/>
      <c r="H479" s="77" t="n"/>
      <c r="I479" s="28" t="n">
        <v>2</v>
      </c>
      <c r="J479" s="62" t="inlineStr">
        <is>
          <t>Hasil Monitoring Otorisasi</t>
        </is>
      </c>
      <c r="K479" s="78" t="inlineStr"/>
      <c r="L479" s="29" t="n"/>
      <c r="M479" s="10" t="n"/>
      <c r="N479" s="29" t="n"/>
      <c r="O479" s="29" t="n"/>
      <c r="P479" s="29" t="n"/>
      <c r="Q479" s="10" t="n"/>
      <c r="R479" s="30">
        <f>IF(OR(L479="",L479="N/A"),"",IF(L479="Tidak Ada",0,IF(P479="","",IF(P479="Tidak Sesuai",0,IF(AND(N479="Ya",O479="Ya",P479="Sesuai"),1,0.5)))))</f>
        <v/>
      </c>
      <c r="S479" s="30">
        <f>IF(L479="N/A","N/A",IF(R479="","Belum dinilai",IF(R479=1,"Memenuhi",IF(R479=0,"Tidak Memenuhi","Memenuhi Sebagian"))))</f>
        <v/>
      </c>
      <c r="T479" s="31" t="inlineStr">
        <is>
          <t>3.7-1</t>
        </is>
      </c>
      <c r="U479" s="77" t="n"/>
    </row>
    <row r="480" ht="27" customHeight="1">
      <c r="A480" s="77" t="n"/>
      <c r="B480" s="77" t="n"/>
      <c r="C480" s="77" t="n"/>
      <c r="D480" s="77" t="n"/>
      <c r="E480" s="32" t="inlineStr">
        <is>
          <t>B</t>
        </is>
      </c>
      <c r="F480" s="79" t="n"/>
      <c r="G480" s="79" t="n"/>
      <c r="H480" s="79" t="n"/>
      <c r="I480" s="28" t="n">
        <v>3</v>
      </c>
      <c r="J480" s="62" t="inlineStr">
        <is>
          <t>Matriks Tindak Lanjut</t>
        </is>
      </c>
      <c r="K480" s="78" t="inlineStr"/>
      <c r="L480" s="29" t="n"/>
      <c r="M480" s="10" t="n"/>
      <c r="N480" s="29" t="n"/>
      <c r="O480" s="29" t="n"/>
      <c r="P480" s="29" t="n"/>
      <c r="Q480" s="10" t="n"/>
      <c r="R480" s="30">
        <f>IF(OR(L480="",L480="N/A"),"",IF(L480="Tidak Ada",0,IF(P480="","",IF(P480="Tidak Sesuai",0,IF(AND(N480="Ya",O480="Ya",P480="Sesuai"),1,0.5)))))</f>
        <v/>
      </c>
      <c r="S480" s="30">
        <f>IF(L480="N/A","N/A",IF(R480="","Belum dinilai",IF(R480=1,"Memenuhi",IF(R480=0,"Tidak Memenuhi","Memenuhi Sebagian"))))</f>
        <v/>
      </c>
      <c r="T480" s="31" t="inlineStr">
        <is>
          <t>3.7-1</t>
        </is>
      </c>
      <c r="U480" s="79" t="n"/>
    </row>
    <row r="481" ht="27" customHeight="1">
      <c r="A481" s="77" t="n"/>
      <c r="B481" s="77" t="n"/>
      <c r="C481" s="77" t="n"/>
      <c r="D481" s="77" t="n"/>
      <c r="E481" s="33" t="inlineStr">
        <is>
          <t>C</t>
        </is>
      </c>
      <c r="F481" s="62" t="inlineStr">
        <is>
          <t>C – Implementasi</t>
        </is>
      </c>
      <c r="G481" s="62" t="inlineStr">
        <is>
          <t>Otorisasi atas transaksi dan kejadian telah dilaksanakan sesuai kebijakan/prosedur yang ditetapkan</t>
        </is>
      </c>
      <c r="H481" s="62" t="inlineStr">
        <is>
          <t>Otorisasi atas transaksi dan kejadian telah dilaksanakan sesuai kebijakan/prosedur yang ditetapkan</t>
        </is>
      </c>
      <c r="I481" s="28" t="n">
        <v>1</v>
      </c>
      <c r="J481" s="62" t="inlineStr">
        <is>
          <t>SOP Otorisasi Transaksi</t>
        </is>
      </c>
      <c r="K481" s="78" t="inlineStr"/>
      <c r="L481" s="29" t="n"/>
      <c r="M481" s="10" t="n"/>
      <c r="N481" s="29" t="n"/>
      <c r="O481" s="29" t="n"/>
      <c r="P481" s="29" t="n"/>
      <c r="Q481" s="10" t="n"/>
      <c r="R481" s="30">
        <f>IF(OR(L481="",L481="N/A"),"",IF(L481="Tidak Ada",0,IF(P481="","",IF(P481="Tidak Sesuai",0,IF(AND(N481="Ya",O481="Ya",P481="Sesuai"),1,0.5)))))</f>
        <v/>
      </c>
      <c r="S481" s="30">
        <f>IF(L481="N/A","N/A",IF(R481="","Belum dinilai",IF(R481=1,"Memenuhi",IF(R481=0,"Tidak Memenuhi","Memenuhi Sebagian"))))</f>
        <v/>
      </c>
      <c r="T481" s="31" t="inlineStr">
        <is>
          <t>3.7-1</t>
        </is>
      </c>
      <c r="U481" s="63">
        <f>IF(COUNT(R481:R483)=0,"",SUM(R481:R483)/COUNT(R481:R483))</f>
        <v/>
      </c>
    </row>
    <row r="482" ht="27" customHeight="1">
      <c r="A482" s="77" t="n"/>
      <c r="B482" s="77" t="n"/>
      <c r="C482" s="77" t="n"/>
      <c r="D482" s="77" t="n"/>
      <c r="E482" s="33" t="inlineStr">
        <is>
          <t>C</t>
        </is>
      </c>
      <c r="F482" s="77" t="n"/>
      <c r="G482" s="77" t="n"/>
      <c r="H482" s="77" t="n"/>
      <c r="I482" s="28" t="n">
        <v>2</v>
      </c>
      <c r="J482" s="62" t="inlineStr">
        <is>
          <t>Surat Keputusan/Penetapan Pejabat Berwenang</t>
        </is>
      </c>
      <c r="K482" s="78" t="inlineStr"/>
      <c r="L482" s="29" t="inlineStr">
        <is>
          <t>Ada</t>
        </is>
      </c>
      <c r="M482" s="66" t="inlineStr">
        <is>
          <t>SK PPTK</t>
        </is>
      </c>
      <c r="N482" s="29" t="inlineStr">
        <is>
          <t>Ya</t>
        </is>
      </c>
      <c r="O482" s="29" t="inlineStr">
        <is>
          <t>Ya</t>
        </is>
      </c>
      <c r="P482" s="29" t="inlineStr">
        <is>
          <t>Sesuai</t>
        </is>
      </c>
      <c r="Q482" s="10" t="n"/>
      <c r="R482" s="30">
        <f>IF(OR(L482="",L482="N/A"),"",IF(L482="Tidak Ada",0,IF(P482="","",IF(P482="Tidak Sesuai",0,IF(AND(N482="Ya",O482="Ya",P482="Sesuai"),1,0.5)))))</f>
        <v/>
      </c>
      <c r="S482" s="30">
        <f>IF(L482="N/A","N/A",IF(R482="","Belum dinilai",IF(R482=1,"Memenuhi",IF(R482=0,"Tidak Memenuhi","Memenuhi Sebagian"))))</f>
        <v/>
      </c>
      <c r="T482" s="31" t="inlineStr">
        <is>
          <t>3.7-1</t>
        </is>
      </c>
      <c r="U482" s="77" t="n"/>
    </row>
    <row r="483" ht="27" customHeight="1">
      <c r="A483" s="77" t="n"/>
      <c r="B483" s="77" t="n"/>
      <c r="C483" s="77" t="n"/>
      <c r="D483" s="77" t="n"/>
      <c r="E483" s="33" t="inlineStr">
        <is>
          <t>C</t>
        </is>
      </c>
      <c r="F483" s="79" t="n"/>
      <c r="G483" s="79" t="n"/>
      <c r="H483" s="79" t="n"/>
      <c r="I483" s="28" t="n">
        <v>3</v>
      </c>
      <c r="J483" s="62" t="inlineStr">
        <is>
          <t>Bukti Otorisasi Transaksi</t>
        </is>
      </c>
      <c r="K483" s="78" t="inlineStr"/>
      <c r="L483" s="29" t="n"/>
      <c r="M483" s="10" t="n"/>
      <c r="N483" s="29" t="n"/>
      <c r="O483" s="29" t="n"/>
      <c r="P483" s="29" t="n"/>
      <c r="Q483" s="10" t="n"/>
      <c r="R483" s="30">
        <f>IF(OR(L483="",L483="N/A"),"",IF(L483="Tidak Ada",0,IF(P483="","",IF(P483="Tidak Sesuai",0,IF(AND(N483="Ya",O483="Ya",P483="Sesuai"),1,0.5)))))</f>
        <v/>
      </c>
      <c r="S483" s="30">
        <f>IF(L483="N/A","N/A",IF(R483="","Belum dinilai",IF(R483=1,"Memenuhi",IF(R483=0,"Tidak Memenuhi","Memenuhi Sebagian"))))</f>
        <v/>
      </c>
      <c r="T483" s="31" t="inlineStr">
        <is>
          <t>3.7-1</t>
        </is>
      </c>
      <c r="U483" s="79" t="n"/>
    </row>
    <row r="484" ht="39" customHeight="1">
      <c r="A484" s="77" t="n"/>
      <c r="B484" s="77" t="n"/>
      <c r="C484" s="77" t="n"/>
      <c r="D484" s="77" t="n"/>
      <c r="E484" s="34" t="inlineStr">
        <is>
          <t>D</t>
        </is>
      </c>
      <c r="F484" s="62" t="inlineStr">
        <is>
          <t>D – Komunikasi &amp; Pemahaman</t>
        </is>
      </c>
      <c r="G484" s="62" t="inlineStr">
        <is>
          <t>Kebijakan terkait otorisasi atas transaksi dan kejadian telah dikomunikasikan dan dipahami oleh pihak yang berkepentingan</t>
        </is>
      </c>
      <c r="H484" s="62" t="inlineStr">
        <is>
          <t>Kebijakan terkait otorisasi atas transaksi dan kejadian telah dikomunikasikan dan dipahami oleh pihak yang berkepentingan</t>
        </is>
      </c>
      <c r="I484" s="28" t="n">
        <v>1</v>
      </c>
      <c r="J484" s="62" t="inlineStr">
        <is>
          <t>Bukti Sosialisasi SOP Otorisasi</t>
        </is>
      </c>
      <c r="K484" s="78" t="inlineStr"/>
      <c r="L484" s="29" t="n"/>
      <c r="M484" s="10" t="n"/>
      <c r="N484" s="29" t="n"/>
      <c r="O484" s="29" t="n"/>
      <c r="P484" s="29" t="n"/>
      <c r="Q484" s="10" t="n"/>
      <c r="R484" s="30">
        <f>IF(OR(L484="",L484="N/A"),"",IF(L484="Tidak Ada",0,IF(P484="","",IF(P484="Tidak Sesuai",0,IF(AND(N484="Ya",O484="Ya",P484="Sesuai"),1,0.5)))))</f>
        <v/>
      </c>
      <c r="S484" s="30">
        <f>IF(L484="N/A","N/A",IF(R484="","Belum dinilai",IF(R484=1,"Memenuhi",IF(R484=0,"Tidak Memenuhi","Memenuhi Sebagian"))))</f>
        <v/>
      </c>
      <c r="T484" s="31" t="inlineStr">
        <is>
          <t>3.7-1</t>
        </is>
      </c>
      <c r="U484" s="63">
        <f>IF(COUNT(R484:R485)=0,"",SUM(R484:R485)/COUNT(R484:R485))</f>
        <v/>
      </c>
    </row>
    <row r="485" ht="39" customHeight="1">
      <c r="A485" s="77" t="n"/>
      <c r="B485" s="77" t="n"/>
      <c r="C485" s="77" t="n"/>
      <c r="D485" s="77" t="n"/>
      <c r="E485" s="34" t="inlineStr">
        <is>
          <t>D</t>
        </is>
      </c>
      <c r="F485" s="79" t="n"/>
      <c r="G485" s="79" t="n"/>
      <c r="H485" s="79" t="n"/>
      <c r="I485" s="28" t="n">
        <v>2</v>
      </c>
      <c r="J485" s="62" t="inlineStr">
        <is>
          <t>Daftar Pejabat Berwenang</t>
        </is>
      </c>
      <c r="K485" s="78" t="inlineStr"/>
      <c r="L485" s="29" t="n"/>
      <c r="M485" s="10" t="n"/>
      <c r="N485" s="29" t="n"/>
      <c r="O485" s="29" t="n"/>
      <c r="P485" s="29" t="n"/>
      <c r="Q485" s="10" t="n"/>
      <c r="R485" s="30">
        <f>IF(OR(L485="",L485="N/A"),"",IF(L485="Tidak Ada",0,IF(P485="","",IF(P485="Tidak Sesuai",0,IF(AND(N485="Ya",O485="Ya",P485="Sesuai"),1,0.5)))))</f>
        <v/>
      </c>
      <c r="S485" s="30">
        <f>IF(L485="N/A","N/A",IF(R485="","Belum dinilai",IF(R485=1,"Memenuhi",IF(R485=0,"Tidak Memenuhi","Memenuhi Sebagian"))))</f>
        <v/>
      </c>
      <c r="T485" s="31" t="inlineStr">
        <is>
          <t>3.7-1</t>
        </is>
      </c>
      <c r="U485" s="79" t="n"/>
    </row>
    <row r="486" ht="27" customHeight="1">
      <c r="A486" s="77" t="n"/>
      <c r="B486" s="77" t="n"/>
      <c r="C486" s="77" t="n"/>
      <c r="D486" s="77" t="n"/>
      <c r="E486" s="35" t="inlineStr">
        <is>
          <t>E</t>
        </is>
      </c>
      <c r="F486" s="62" t="inlineStr">
        <is>
          <t>E – Kebijakan/Formalitas</t>
        </is>
      </c>
      <c r="G486" s="62" t="inlineStr">
        <is>
          <t>Terdapat kebijakan yang mengatur prosedur otorisasi atas transaksi dan kejadian</t>
        </is>
      </c>
      <c r="H486" s="62" t="inlineStr">
        <is>
          <t>Terdapat kebijakan yang mengatur prosedur otorisasi atas transaksi dan kejadian</t>
        </is>
      </c>
      <c r="I486" s="28" t="n">
        <v>1</v>
      </c>
      <c r="J486" s="62" t="inlineStr">
        <is>
          <t>Kebijakan/SOP Otorisasi Transaksi dan Kejadian</t>
        </is>
      </c>
      <c r="K486" s="78" t="inlineStr"/>
      <c r="L486" s="29" t="n"/>
      <c r="M486" s="10" t="n"/>
      <c r="N486" s="29" t="n"/>
      <c r="O486" s="29" t="n"/>
      <c r="P486" s="29" t="n"/>
      <c r="Q486" s="10" t="n"/>
      <c r="R486" s="30">
        <f>IF(OR(L486="",L486="N/A"),"",IF(L486="Tidak Ada",0,IF(P486="","",IF(P486="Tidak Sesuai",0,IF(AND(N486="Ya",O486="Ya",P486="Sesuai"),1,0.5)))))</f>
        <v/>
      </c>
      <c r="S486" s="30">
        <f>IF(L486="N/A","N/A",IF(R486="","Belum dinilai",IF(R486=1,"Memenuhi",IF(R486=0,"Tidak Memenuhi","Memenuhi Sebagian"))))</f>
        <v/>
      </c>
      <c r="T486" s="31" t="inlineStr">
        <is>
          <t>3.7-1</t>
        </is>
      </c>
      <c r="U486" s="63">
        <f>IF(COUNT(R486:R487)=0,"",SUM(R486:R487)/COUNT(R486:R487))</f>
        <v/>
      </c>
    </row>
    <row r="487" ht="27" customHeight="1">
      <c r="A487" s="79" t="n"/>
      <c r="B487" s="79" t="n"/>
      <c r="C487" s="79" t="n"/>
      <c r="D487" s="79" t="n"/>
      <c r="E487" s="35" t="inlineStr">
        <is>
          <t>E</t>
        </is>
      </c>
      <c r="F487" s="79" t="n"/>
      <c r="G487" s="79" t="n"/>
      <c r="H487" s="79" t="n"/>
      <c r="I487" s="28" t="n">
        <v>2</v>
      </c>
      <c r="J487" s="62" t="inlineStr">
        <is>
          <t>SK Penetapan Pejabat Berwenang</t>
        </is>
      </c>
      <c r="K487" s="78" t="inlineStr"/>
      <c r="L487" s="29" t="n"/>
      <c r="M487" s="10" t="n"/>
      <c r="N487" s="29" t="n"/>
      <c r="O487" s="29" t="n"/>
      <c r="P487" s="29" t="n"/>
      <c r="Q487" s="10" t="n"/>
      <c r="R487" s="30">
        <f>IF(OR(L487="",L487="N/A"),"",IF(L487="Tidak Ada",0,IF(P487="","",IF(P487="Tidak Sesuai",0,IF(AND(N487="Ya",O487="Ya",P487="Sesuai"),1,0.5)))))</f>
        <v/>
      </c>
      <c r="S487" s="30">
        <f>IF(L487="N/A","N/A",IF(R487="","Belum dinilai",IF(R487=1,"Memenuhi",IF(R487=0,"Tidak Memenuhi","Memenuhi Sebagian"))))</f>
        <v/>
      </c>
      <c r="T487" s="31" t="inlineStr">
        <is>
          <t>3.7-1</t>
        </is>
      </c>
      <c r="U487" s="79" t="n"/>
    </row>
    <row r="488" ht="27" customHeight="1">
      <c r="A488" s="56" t="inlineStr">
        <is>
          <t>3.8</t>
        </is>
      </c>
      <c r="B488" s="57" t="inlineStr">
        <is>
          <t>Pencatatan yang Akurat dan Tepat Waktu atas Transaksi dan Kejadian</t>
        </is>
      </c>
      <c r="C488" s="58" t="n">
        <v>1</v>
      </c>
      <c r="D488" s="59" t="inlineStr">
        <is>
          <t>Terdapat proses untuk memastikan transaksi telah diklasifikasikan dengan layak dan dikelompokkan dengan benar serta dicatat dengan segera sehingga relevan, bernilai, dan berguna bagi manajemen</t>
        </is>
      </c>
      <c r="E488" s="21" t="inlineStr">
        <is>
          <t>A</t>
        </is>
      </c>
      <c r="F488" s="60" t="inlineStr">
        <is>
          <t>A – Perbaikan Berkelanjutan</t>
        </is>
      </c>
      <c r="G488" s="60" t="inlineStr">
        <is>
          <t>Pencatatan atas transaksi dan kejadian telah diperbaiki secara berkelanjutan dan secara optimal mampu mendukung pencapaian tujuan organisasi</t>
        </is>
      </c>
      <c r="H488" s="60" t="inlineStr">
        <is>
          <t>Pencatatan atas transaksi dan kejadian telah diperbaiki secara berkelanjutan dan secara optimal mampu mendukung pencapaian tujuan organisasi</t>
        </is>
      </c>
      <c r="I488" s="22" t="n">
        <v>1</v>
      </c>
      <c r="J488" s="60" t="inlineStr">
        <is>
          <t>Laporan Evaluasi Pencatatan Transaksi</t>
        </is>
      </c>
      <c r="K488" s="76" t="inlineStr"/>
      <c r="L488" s="23" t="n"/>
      <c r="M488" s="24" t="n"/>
      <c r="N488" s="23" t="n"/>
      <c r="O488" s="23" t="n"/>
      <c r="P488" s="23" t="n"/>
      <c r="Q488" s="24" t="n"/>
      <c r="R488" s="25">
        <f>IF(OR(L488="",L488="N/A"),"",IF(L488="Tidak Ada",0,IF(P488="","",IF(P488="Tidak Sesuai",0,IF(AND(N488="Ya",O488="Ya",P488="Sesuai"),1,0.5)))))</f>
        <v/>
      </c>
      <c r="S488" s="25">
        <f>IF(L488="N/A","N/A",IF(R488="","Belum dinilai",IF(R488=1,"Memenuhi",IF(R488=0,"Tidak Memenuhi","Memenuhi Sebagian"))))</f>
        <v/>
      </c>
      <c r="T488" s="26" t="inlineStr">
        <is>
          <t>3.8-1</t>
        </is>
      </c>
      <c r="U488" s="61">
        <f>IF(COUNT(R488:R490)=0,"",SUM(R488:R490)/COUNT(R488:R490))</f>
        <v/>
      </c>
    </row>
    <row r="489" ht="27" customHeight="1">
      <c r="A489" s="77" t="n"/>
      <c r="B489" s="77" t="n"/>
      <c r="C489" s="77" t="n"/>
      <c r="D489" s="77" t="n"/>
      <c r="E489" s="27" t="inlineStr">
        <is>
          <t>A</t>
        </is>
      </c>
      <c r="F489" s="77" t="n"/>
      <c r="G489" s="77" t="n"/>
      <c r="H489" s="77" t="n"/>
      <c r="I489" s="28" t="n">
        <v>2</v>
      </c>
      <c r="J489" s="62" t="inlineStr">
        <is>
          <t>Matriks Tindak Lanjut</t>
        </is>
      </c>
      <c r="K489" s="78" t="inlineStr"/>
      <c r="L489" s="29" t="n"/>
      <c r="M489" s="10" t="n"/>
      <c r="N489" s="29" t="n"/>
      <c r="O489" s="29" t="n"/>
      <c r="P489" s="29" t="n"/>
      <c r="Q489" s="10" t="n"/>
      <c r="R489" s="30">
        <f>IF(OR(L489="",L489="N/A"),"",IF(L489="Tidak Ada",0,IF(P489="","",IF(P489="Tidak Sesuai",0,IF(AND(N489="Ya",O489="Ya",P489="Sesuai"),1,0.5)))))</f>
        <v/>
      </c>
      <c r="S489" s="30">
        <f>IF(L489="N/A","N/A",IF(R489="","Belum dinilai",IF(R489=1,"Memenuhi",IF(R489=0,"Tidak Memenuhi","Memenuhi Sebagian"))))</f>
        <v/>
      </c>
      <c r="T489" s="31" t="inlineStr">
        <is>
          <t>3.8-1</t>
        </is>
      </c>
      <c r="U489" s="77" t="n"/>
    </row>
    <row r="490" ht="27" customHeight="1">
      <c r="A490" s="77" t="n"/>
      <c r="B490" s="77" t="n"/>
      <c r="C490" s="77" t="n"/>
      <c r="D490" s="77" t="n"/>
      <c r="E490" s="27" t="inlineStr">
        <is>
          <t>A</t>
        </is>
      </c>
      <c r="F490" s="79" t="n"/>
      <c r="G490" s="79" t="n"/>
      <c r="H490" s="79" t="n"/>
      <c r="I490" s="28" t="n">
        <v>3</v>
      </c>
      <c r="J490" s="62" t="inlineStr">
        <is>
          <t>Bukti Perbaikan Sistem/Prosedur Pencatatan</t>
        </is>
      </c>
      <c r="K490" s="78" t="inlineStr"/>
      <c r="L490" s="29" t="n"/>
      <c r="M490" s="10" t="n"/>
      <c r="N490" s="29" t="n"/>
      <c r="O490" s="29" t="n"/>
      <c r="P490" s="29" t="n"/>
      <c r="Q490" s="10" t="n"/>
      <c r="R490" s="30">
        <f>IF(OR(L490="",L490="N/A"),"",IF(L490="Tidak Ada",0,IF(P490="","",IF(P490="Tidak Sesuai",0,IF(AND(N490="Ya",O490="Ya",P490="Sesuai"),1,0.5)))))</f>
        <v/>
      </c>
      <c r="S490" s="30">
        <f>IF(L490="N/A","N/A",IF(R490="","Belum dinilai",IF(R490=1,"Memenuhi",IF(R490=0,"Tidak Memenuhi","Memenuhi Sebagian"))))</f>
        <v/>
      </c>
      <c r="T490" s="31" t="inlineStr">
        <is>
          <t>3.8-1</t>
        </is>
      </c>
      <c r="U490" s="79" t="n"/>
    </row>
    <row r="491" ht="27" customHeight="1">
      <c r="A491" s="77" t="n"/>
      <c r="B491" s="77" t="n"/>
      <c r="C491" s="77" t="n"/>
      <c r="D491" s="77" t="n"/>
      <c r="E491" s="32" t="inlineStr">
        <is>
          <t>B</t>
        </is>
      </c>
      <c r="F491" s="62" t="inlineStr">
        <is>
          <t>B – Evaluasi &amp; Tindak Lanjut</t>
        </is>
      </c>
      <c r="G491" s="62" t="inlineStr">
        <is>
          <t>Kebijakan dan implementasi terkait pencatatan atas transaksi dan kejadian telah dievaluasi sehingga dapat diketahui efektivitasnya</t>
        </is>
      </c>
      <c r="H491" s="62" t="inlineStr">
        <is>
          <t>Kebijakan dan implementasi terkait pencatatan atas transaksi dan kejadian telah dievaluasi sehingga dapat diketahui efektivitasnya</t>
        </is>
      </c>
      <c r="I491" s="28" t="n">
        <v>1</v>
      </c>
      <c r="J491" s="62" t="inlineStr">
        <is>
          <t>Laporan Evaluasi Pencatatan Transaksi dan Kejadian</t>
        </is>
      </c>
      <c r="K491" s="78" t="inlineStr"/>
      <c r="L491" s="29" t="n"/>
      <c r="M491" s="10" t="n"/>
      <c r="N491" s="29" t="n"/>
      <c r="O491" s="29" t="n"/>
      <c r="P491" s="29" t="n"/>
      <c r="Q491" s="10" t="n"/>
      <c r="R491" s="30">
        <f>IF(OR(L491="",L491="N/A"),"",IF(L491="Tidak Ada",0,IF(P491="","",IF(P491="Tidak Sesuai",0,IF(AND(N491="Ya",O491="Ya",P491="Sesuai"),1,0.5)))))</f>
        <v/>
      </c>
      <c r="S491" s="30">
        <f>IF(L491="N/A","N/A",IF(R491="","Belum dinilai",IF(R491=1,"Memenuhi",IF(R491=0,"Tidak Memenuhi","Memenuhi Sebagian"))))</f>
        <v/>
      </c>
      <c r="T491" s="31" t="inlineStr">
        <is>
          <t>3.8-1</t>
        </is>
      </c>
      <c r="U491" s="63">
        <f>IF(COUNT(R491:R493)=0,"",SUM(R491:R493)/COUNT(R491:R493))</f>
        <v/>
      </c>
    </row>
    <row r="492" ht="27" customHeight="1">
      <c r="A492" s="77" t="n"/>
      <c r="B492" s="77" t="n"/>
      <c r="C492" s="77" t="n"/>
      <c r="D492" s="77" t="n"/>
      <c r="E492" s="32" t="inlineStr">
        <is>
          <t>B</t>
        </is>
      </c>
      <c r="F492" s="77" t="n"/>
      <c r="G492" s="77" t="n"/>
      <c r="H492" s="77" t="n"/>
      <c r="I492" s="28" t="n">
        <v>2</v>
      </c>
      <c r="J492" s="62" t="inlineStr">
        <is>
          <t>Hasil Monitoring</t>
        </is>
      </c>
      <c r="K492" s="78" t="inlineStr"/>
      <c r="L492" s="29" t="n"/>
      <c r="M492" s="10" t="n"/>
      <c r="N492" s="29" t="n"/>
      <c r="O492" s="29" t="n"/>
      <c r="P492" s="29" t="n"/>
      <c r="Q492" s="10" t="n"/>
      <c r="R492" s="30">
        <f>IF(OR(L492="",L492="N/A"),"",IF(L492="Tidak Ada",0,IF(P492="","",IF(P492="Tidak Sesuai",0,IF(AND(N492="Ya",O492="Ya",P492="Sesuai"),1,0.5)))))</f>
        <v/>
      </c>
      <c r="S492" s="30">
        <f>IF(L492="N/A","N/A",IF(R492="","Belum dinilai",IF(R492=1,"Memenuhi",IF(R492=0,"Tidak Memenuhi","Memenuhi Sebagian"))))</f>
        <v/>
      </c>
      <c r="T492" s="31" t="inlineStr">
        <is>
          <t>3.8-1</t>
        </is>
      </c>
      <c r="U492" s="77" t="n"/>
    </row>
    <row r="493" ht="27" customHeight="1">
      <c r="A493" s="77" t="n"/>
      <c r="B493" s="77" t="n"/>
      <c r="C493" s="77" t="n"/>
      <c r="D493" s="77" t="n"/>
      <c r="E493" s="32" t="inlineStr">
        <is>
          <t>B</t>
        </is>
      </c>
      <c r="F493" s="79" t="n"/>
      <c r="G493" s="79" t="n"/>
      <c r="H493" s="79" t="n"/>
      <c r="I493" s="28" t="n">
        <v>3</v>
      </c>
      <c r="J493" s="62" t="inlineStr">
        <is>
          <t>Matriks Tindak Lanjut</t>
        </is>
      </c>
      <c r="K493" s="78" t="inlineStr"/>
      <c r="L493" s="29" t="n"/>
      <c r="M493" s="10" t="n"/>
      <c r="N493" s="29" t="n"/>
      <c r="O493" s="29" t="n"/>
      <c r="P493" s="29" t="n"/>
      <c r="Q493" s="10" t="n"/>
      <c r="R493" s="30">
        <f>IF(OR(L493="",L493="N/A"),"",IF(L493="Tidak Ada",0,IF(P493="","",IF(P493="Tidak Sesuai",0,IF(AND(N493="Ya",O493="Ya",P493="Sesuai"),1,0.5)))))</f>
        <v/>
      </c>
      <c r="S493" s="30">
        <f>IF(L493="N/A","N/A",IF(R493="","Belum dinilai",IF(R493=1,"Memenuhi",IF(R493=0,"Tidak Memenuhi","Memenuhi Sebagian"))))</f>
        <v/>
      </c>
      <c r="T493" s="31" t="inlineStr">
        <is>
          <t>3.8-1</t>
        </is>
      </c>
      <c r="U493" s="79" t="n"/>
    </row>
    <row r="494" ht="27" customHeight="1">
      <c r="A494" s="77" t="n"/>
      <c r="B494" s="77" t="n"/>
      <c r="C494" s="77" t="n"/>
      <c r="D494" s="77" t="n"/>
      <c r="E494" s="33" t="inlineStr">
        <is>
          <t>C</t>
        </is>
      </c>
      <c r="F494" s="62" t="inlineStr">
        <is>
          <t>C – Implementasi</t>
        </is>
      </c>
      <c r="G494" s="62" t="inlineStr">
        <is>
          <t>Pencatatan atas transaksi dan kejadian telah dilaksanakan sesuai kebijakan/prosedur yang ditetapkan</t>
        </is>
      </c>
      <c r="H494" s="62" t="inlineStr">
        <is>
          <t>Pencatatan atas transaksi dan kejadian telah dilaksanakan sesuai kebijakan/prosedur yang ditetapkan</t>
        </is>
      </c>
      <c r="I494" s="28" t="n">
        <v>1</v>
      </c>
      <c r="J494" s="62" t="inlineStr">
        <is>
          <t>SOP Pencatatan Transaksi</t>
        </is>
      </c>
      <c r="K494" s="78" t="inlineStr"/>
      <c r="L494" s="29" t="n"/>
      <c r="M494" s="10" t="n"/>
      <c r="N494" s="29" t="n"/>
      <c r="O494" s="29" t="n"/>
      <c r="P494" s="29" t="n"/>
      <c r="Q494" s="10" t="n"/>
      <c r="R494" s="30">
        <f>IF(OR(L494="",L494="N/A"),"",IF(L494="Tidak Ada",0,IF(P494="","",IF(P494="Tidak Sesuai",0,IF(AND(N494="Ya",O494="Ya",P494="Sesuai"),1,0.5)))))</f>
        <v/>
      </c>
      <c r="S494" s="30">
        <f>IF(L494="N/A","N/A",IF(R494="","Belum dinilai",IF(R494=1,"Memenuhi",IF(R494=0,"Tidak Memenuhi","Memenuhi Sebagian"))))</f>
        <v/>
      </c>
      <c r="T494" s="31" t="inlineStr">
        <is>
          <t>3.8-1</t>
        </is>
      </c>
      <c r="U494" s="63">
        <f>IF(COUNT(R494:R496)=0,"",SUM(R494:R496)/COUNT(R494:R496))</f>
        <v/>
      </c>
    </row>
    <row r="495" ht="27" customHeight="1">
      <c r="A495" s="77" t="n"/>
      <c r="B495" s="77" t="n"/>
      <c r="C495" s="77" t="n"/>
      <c r="D495" s="77" t="n"/>
      <c r="E495" s="33" t="inlineStr">
        <is>
          <t>C</t>
        </is>
      </c>
      <c r="F495" s="77" t="n"/>
      <c r="G495" s="77" t="n"/>
      <c r="H495" s="77" t="n"/>
      <c r="I495" s="28" t="n">
        <v>2</v>
      </c>
      <c r="J495" s="62" t="inlineStr">
        <is>
          <t>Buku/Daftar/Register Transaksi</t>
        </is>
      </c>
      <c r="K495" s="78" t="inlineStr"/>
      <c r="L495" s="29" t="n"/>
      <c r="M495" s="10" t="n"/>
      <c r="N495" s="29" t="n"/>
      <c r="O495" s="29" t="n"/>
      <c r="P495" s="29" t="n"/>
      <c r="Q495" s="10" t="n"/>
      <c r="R495" s="30">
        <f>IF(OR(L495="",L495="N/A"),"",IF(L495="Tidak Ada",0,IF(P495="","",IF(P495="Tidak Sesuai",0,IF(AND(N495="Ya",O495="Ya",P495="Sesuai"),1,0.5)))))</f>
        <v/>
      </c>
      <c r="S495" s="30">
        <f>IF(L495="N/A","N/A",IF(R495="","Belum dinilai",IF(R495=1,"Memenuhi",IF(R495=0,"Tidak Memenuhi","Memenuhi Sebagian"))))</f>
        <v/>
      </c>
      <c r="T495" s="31" t="inlineStr">
        <is>
          <t>3.8-1</t>
        </is>
      </c>
      <c r="U495" s="77" t="n"/>
    </row>
    <row r="496" ht="27" customHeight="1">
      <c r="A496" s="77" t="n"/>
      <c r="B496" s="77" t="n"/>
      <c r="C496" s="77" t="n"/>
      <c r="D496" s="77" t="n"/>
      <c r="E496" s="33" t="inlineStr">
        <is>
          <t>C</t>
        </is>
      </c>
      <c r="F496" s="79" t="n"/>
      <c r="G496" s="79" t="n"/>
      <c r="H496" s="79" t="n"/>
      <c r="I496" s="28" t="n">
        <v>3</v>
      </c>
      <c r="J496" s="62" t="inlineStr">
        <is>
          <t>Bukti Pencatatan Transaksi</t>
        </is>
      </c>
      <c r="K496" s="78" t="inlineStr"/>
      <c r="L496" s="29" t="inlineStr">
        <is>
          <t>Ada</t>
        </is>
      </c>
      <c r="M496" s="66" t="inlineStr">
        <is>
          <t>tanda terima penyerahan uang ke PPTK</t>
        </is>
      </c>
      <c r="N496" s="29" t="inlineStr">
        <is>
          <t>Ya</t>
        </is>
      </c>
      <c r="O496" s="29" t="inlineStr">
        <is>
          <t>Ya</t>
        </is>
      </c>
      <c r="P496" s="29" t="inlineStr">
        <is>
          <t>Sesuai</t>
        </is>
      </c>
      <c r="Q496" s="10" t="n"/>
      <c r="R496" s="30">
        <f>IF(OR(L496="",L496="N/A"),"",IF(L496="Tidak Ada",0,IF(P496="","",IF(P496="Tidak Sesuai",0,IF(AND(N496="Ya",O496="Ya",P496="Sesuai"),1,0.5)))))</f>
        <v/>
      </c>
      <c r="S496" s="30">
        <f>IF(L496="N/A","N/A",IF(R496="","Belum dinilai",IF(R496=1,"Memenuhi",IF(R496=0,"Tidak Memenuhi","Memenuhi Sebagian"))))</f>
        <v/>
      </c>
      <c r="T496" s="31" t="inlineStr">
        <is>
          <t>3.8-1</t>
        </is>
      </c>
      <c r="U496" s="79" t="n"/>
    </row>
    <row r="497" ht="39" customHeight="1">
      <c r="A497" s="77" t="n"/>
      <c r="B497" s="77" t="n"/>
      <c r="C497" s="77" t="n"/>
      <c r="D497" s="77" t="n"/>
      <c r="E497" s="34" t="inlineStr">
        <is>
          <t>D</t>
        </is>
      </c>
      <c r="F497" s="62" t="inlineStr">
        <is>
          <t>D – Komunikasi &amp; Pemahaman</t>
        </is>
      </c>
      <c r="G497" s="62" t="inlineStr">
        <is>
          <t>Kebijakan terkait pencatatan atas transaksi dan kejadian telah dikomunikasikan dan dipahami oleh pihak yang berkepentingan</t>
        </is>
      </c>
      <c r="H497" s="62" t="inlineStr">
        <is>
          <t>Kebijakan terkait pencatatan atas transaksi dan kejadian telah dikomunikasikan dan dipahami oleh pihak yang berkepentingan</t>
        </is>
      </c>
      <c r="I497" s="28" t="n">
        <v>1</v>
      </c>
      <c r="J497" s="62" t="inlineStr">
        <is>
          <t>Bukti Sosialisasi SOP Pencatatan</t>
        </is>
      </c>
      <c r="K497" s="78" t="inlineStr"/>
      <c r="L497" s="29" t="n"/>
      <c r="M497" s="10" t="n"/>
      <c r="N497" s="29" t="n"/>
      <c r="O497" s="29" t="n"/>
      <c r="P497" s="29" t="n"/>
      <c r="Q497" s="10" t="n"/>
      <c r="R497" s="30">
        <f>IF(OR(L497="",L497="N/A"),"",IF(L497="Tidak Ada",0,IF(P497="","",IF(P497="Tidak Sesuai",0,IF(AND(N497="Ya",O497="Ya",P497="Sesuai"),1,0.5)))))</f>
        <v/>
      </c>
      <c r="S497" s="30">
        <f>IF(L497="N/A","N/A",IF(R497="","Belum dinilai",IF(R497=1,"Memenuhi",IF(R497=0,"Tidak Memenuhi","Memenuhi Sebagian"))))</f>
        <v/>
      </c>
      <c r="T497" s="31" t="inlineStr">
        <is>
          <t>3.8-1</t>
        </is>
      </c>
      <c r="U497" s="63">
        <f>IF(COUNT(R497:R498)=0,"",SUM(R497:R498)/COUNT(R497:R498))</f>
        <v/>
      </c>
    </row>
    <row r="498" ht="39" customHeight="1">
      <c r="A498" s="77" t="n"/>
      <c r="B498" s="77" t="n"/>
      <c r="C498" s="77" t="n"/>
      <c r="D498" s="77" t="n"/>
      <c r="E498" s="34" t="inlineStr">
        <is>
          <t>D</t>
        </is>
      </c>
      <c r="F498" s="79" t="n"/>
      <c r="G498" s="79" t="n"/>
      <c r="H498" s="79" t="n"/>
      <c r="I498" s="28" t="n">
        <v>2</v>
      </c>
      <c r="J498" s="62" t="inlineStr">
        <is>
          <t>Daftar Petugas/Pengelola Pencatatan</t>
        </is>
      </c>
      <c r="K498" s="78" t="inlineStr"/>
      <c r="L498" s="29" t="n"/>
      <c r="M498" s="10" t="n"/>
      <c r="N498" s="29" t="n"/>
      <c r="O498" s="29" t="n"/>
      <c r="P498" s="29" t="n"/>
      <c r="Q498" s="10" t="n"/>
      <c r="R498" s="30">
        <f>IF(OR(L498="",L498="N/A"),"",IF(L498="Tidak Ada",0,IF(P498="","",IF(P498="Tidak Sesuai",0,IF(AND(N498="Ya",O498="Ya",P498="Sesuai"),1,0.5)))))</f>
        <v/>
      </c>
      <c r="S498" s="30">
        <f>IF(L498="N/A","N/A",IF(R498="","Belum dinilai",IF(R498=1,"Memenuhi",IF(R498=0,"Tidak Memenuhi","Memenuhi Sebagian"))))</f>
        <v/>
      </c>
      <c r="T498" s="31" t="inlineStr">
        <is>
          <t>3.8-1</t>
        </is>
      </c>
      <c r="U498" s="79" t="n"/>
    </row>
    <row r="499" ht="51" customHeight="1">
      <c r="A499" s="79" t="n"/>
      <c r="B499" s="79" t="n"/>
      <c r="C499" s="79" t="n"/>
      <c r="D499" s="79" t="n"/>
      <c r="E499" s="35" t="inlineStr">
        <is>
          <t>E</t>
        </is>
      </c>
      <c r="F499" s="62" t="inlineStr">
        <is>
          <t>E – Kebijakan/Formalitas</t>
        </is>
      </c>
      <c r="G499" s="62" t="inlineStr">
        <is>
          <t>Terdapat kebijakan yang mengatur prosedur pencatatan atas transaksi dan kejadian</t>
        </is>
      </c>
      <c r="H499" s="62" t="inlineStr">
        <is>
          <t>Terdapat kebijakan yang mengatur prosedur pencatatan atas transaksi dan kejadian</t>
        </is>
      </c>
      <c r="I499" s="28" t="n">
        <v>1</v>
      </c>
      <c r="J499" s="62" t="inlineStr">
        <is>
          <t>Kebijakan/SOP Pencatatan Transaksi dan Kejadian</t>
        </is>
      </c>
      <c r="K499" s="78" t="inlineStr"/>
      <c r="L499" s="29" t="n"/>
      <c r="M499" s="10" t="n"/>
      <c r="N499" s="29" t="n"/>
      <c r="O499" s="29" t="n"/>
      <c r="P499" s="29" t="n"/>
      <c r="Q499" s="10" t="n"/>
      <c r="R499" s="30">
        <f>IF(OR(L499="",L499="N/A"),"",IF(L499="Tidak Ada",0,IF(P499="","",IF(P499="Tidak Sesuai",0,IF(AND(N499="Ya",O499="Ya",P499="Sesuai"),1,0.5)))))</f>
        <v/>
      </c>
      <c r="S499" s="30">
        <f>IF(L499="N/A","N/A",IF(R499="","Belum dinilai",IF(R499=1,"Memenuhi",IF(R499=0,"Tidak Memenuhi","Memenuhi Sebagian"))))</f>
        <v/>
      </c>
      <c r="T499" s="31" t="inlineStr">
        <is>
          <t>3.8-1</t>
        </is>
      </c>
      <c r="U499" s="63">
        <f>IF(COUNT(R499:R499)=0,"",SUM(R499:R499)/COUNT(R499:R499))</f>
        <v/>
      </c>
    </row>
    <row r="500" ht="39" customHeight="1">
      <c r="A500" s="56" t="inlineStr">
        <is>
          <t>3.9</t>
        </is>
      </c>
      <c r="B500" s="57" t="inlineStr">
        <is>
          <t>Pembatasan Akses atas Sumber Daya dan Pencatatannya</t>
        </is>
      </c>
      <c r="C500" s="58" t="n">
        <v>1</v>
      </c>
      <c r="D500" s="59" t="inlineStr">
        <is>
          <t>Terdapat pembatasan atas kesempatan dan hak untuk menggunakan, atau memperoleh sumber daya dan mengakses pencatatannya</t>
        </is>
      </c>
      <c r="E500" s="21" t="inlineStr">
        <is>
          <t>A</t>
        </is>
      </c>
      <c r="F500" s="60" t="inlineStr">
        <is>
          <t>A – Perbaikan Berkelanjutan</t>
        </is>
      </c>
      <c r="G500" s="60" t="inlineStr">
        <is>
          <t>Pembatasan akses terhadap sumber daya dan pencatatannya telah diperbaiki secara berkelanjutan dan secara optimal mampu mendukung pencapaian tujuan organisasi</t>
        </is>
      </c>
      <c r="H500" s="60" t="inlineStr">
        <is>
          <t>Pembatasan akses terhadap sumber daya dan pencatatannya telah diperbaiki secara berkelanjutan dan secara optimal mampu mendukung pencapaian tujuan organisasi</t>
        </is>
      </c>
      <c r="I500" s="22" t="n">
        <v>1</v>
      </c>
      <c r="J500" s="60" t="inlineStr">
        <is>
          <t>Laporan Evaluasi Hak Akses</t>
        </is>
      </c>
      <c r="K500" s="76" t="inlineStr"/>
      <c r="L500" s="23" t="n"/>
      <c r="M500" s="24" t="n"/>
      <c r="N500" s="23" t="n"/>
      <c r="O500" s="23" t="n"/>
      <c r="P500" s="23" t="n"/>
      <c r="Q500" s="24" t="n"/>
      <c r="R500" s="25">
        <f>IF(OR(L500="",L500="N/A"),"",IF(L500="Tidak Ada",0,IF(P500="","",IF(P500="Tidak Sesuai",0,IF(AND(N500="Ya",O500="Ya",P500="Sesuai"),1,0.5)))))</f>
        <v/>
      </c>
      <c r="S500" s="25">
        <f>IF(L500="N/A","N/A",IF(R500="","Belum dinilai",IF(R500=1,"Memenuhi",IF(R500=0,"Tidak Memenuhi","Memenuhi Sebagian"))))</f>
        <v/>
      </c>
      <c r="T500" s="26" t="inlineStr">
        <is>
          <t>3.9-1</t>
        </is>
      </c>
      <c r="U500" s="61">
        <f>IF(COUNT(R500:R502)=0,"",SUM(R500:R502)/COUNT(R500:R502))</f>
        <v/>
      </c>
    </row>
    <row r="501" ht="39" customHeight="1">
      <c r="A501" s="77" t="n"/>
      <c r="B501" s="77" t="n"/>
      <c r="C501" s="77" t="n"/>
      <c r="D501" s="77" t="n"/>
      <c r="E501" s="27" t="inlineStr">
        <is>
          <t>A</t>
        </is>
      </c>
      <c r="F501" s="77" t="n"/>
      <c r="G501" s="77" t="n"/>
      <c r="H501" s="77" t="n"/>
      <c r="I501" s="28" t="n">
        <v>2</v>
      </c>
      <c r="J501" s="62" t="inlineStr">
        <is>
          <t>Daftar Perbaikan/Pemutakhiran Hak Akses</t>
        </is>
      </c>
      <c r="K501" s="78" t="inlineStr"/>
      <c r="L501" s="29" t="n"/>
      <c r="M501" s="10" t="n"/>
      <c r="N501" s="29" t="n"/>
      <c r="O501" s="29" t="n"/>
      <c r="P501" s="29" t="n"/>
      <c r="Q501" s="10" t="n"/>
      <c r="R501" s="30">
        <f>IF(OR(L501="",L501="N/A"),"",IF(L501="Tidak Ada",0,IF(P501="","",IF(P501="Tidak Sesuai",0,IF(AND(N501="Ya",O501="Ya",P501="Sesuai"),1,0.5)))))</f>
        <v/>
      </c>
      <c r="S501" s="30">
        <f>IF(L501="N/A","N/A",IF(R501="","Belum dinilai",IF(R501=1,"Memenuhi",IF(R501=0,"Tidak Memenuhi","Memenuhi Sebagian"))))</f>
        <v/>
      </c>
      <c r="T501" s="31" t="inlineStr">
        <is>
          <t>3.9-1</t>
        </is>
      </c>
      <c r="U501" s="77" t="n"/>
    </row>
    <row r="502" ht="39" customHeight="1">
      <c r="A502" s="77" t="n"/>
      <c r="B502" s="77" t="n"/>
      <c r="C502" s="77" t="n"/>
      <c r="D502" s="77" t="n"/>
      <c r="E502" s="27" t="inlineStr">
        <is>
          <t>A</t>
        </is>
      </c>
      <c r="F502" s="79" t="n"/>
      <c r="G502" s="79" t="n"/>
      <c r="H502" s="79" t="n"/>
      <c r="I502" s="28" t="n">
        <v>3</v>
      </c>
      <c r="J502" s="62" t="inlineStr">
        <is>
          <t>Bukti Pengendalian Akses</t>
        </is>
      </c>
      <c r="K502" s="78" t="inlineStr"/>
      <c r="L502" s="29" t="n"/>
      <c r="M502" s="10" t="n"/>
      <c r="N502" s="29" t="n"/>
      <c r="O502" s="29" t="n"/>
      <c r="P502" s="29" t="n"/>
      <c r="Q502" s="10" t="n"/>
      <c r="R502" s="30">
        <f>IF(OR(L502="",L502="N/A"),"",IF(L502="Tidak Ada",0,IF(P502="","",IF(P502="Tidak Sesuai",0,IF(AND(N502="Ya",O502="Ya",P502="Sesuai"),1,0.5)))))</f>
        <v/>
      </c>
      <c r="S502" s="30">
        <f>IF(L502="N/A","N/A",IF(R502="","Belum dinilai",IF(R502=1,"Memenuhi",IF(R502=0,"Tidak Memenuhi","Memenuhi Sebagian"))))</f>
        <v/>
      </c>
      <c r="T502" s="31" t="inlineStr">
        <is>
          <t>3.9-1</t>
        </is>
      </c>
      <c r="U502" s="79" t="n"/>
    </row>
    <row r="503" ht="39" customHeight="1">
      <c r="A503" s="77" t="n"/>
      <c r="B503" s="77" t="n"/>
      <c r="C503" s="77" t="n"/>
      <c r="D503" s="77" t="n"/>
      <c r="E503" s="32" t="inlineStr">
        <is>
          <t>B</t>
        </is>
      </c>
      <c r="F503" s="62" t="inlineStr">
        <is>
          <t>B – Evaluasi &amp; Tindak Lanjut</t>
        </is>
      </c>
      <c r="G503" s="62" t="inlineStr">
        <is>
          <t>Kebijakan dan implementasi terkait pembatasan akses terhadap sumber daya dan pencatatannya telah dievaluasi sehingga dapat diketahui efektivitasnya</t>
        </is>
      </c>
      <c r="H503" s="62" t="inlineStr">
        <is>
          <t>Kebijakan dan implementasi terkait pembatasan akses terhadap sumber daya dan pencatatannya telah dievaluasi sehingga dapat diketahui efektivitasnya</t>
        </is>
      </c>
      <c r="I503" s="28" t="n">
        <v>1</v>
      </c>
      <c r="J503" s="62" t="inlineStr">
        <is>
          <t>Laporan Evaluasi Pengendalian Akses</t>
        </is>
      </c>
      <c r="K503" s="78" t="inlineStr"/>
      <c r="L503" s="29" t="n"/>
      <c r="M503" s="10" t="n"/>
      <c r="N503" s="29" t="n"/>
      <c r="O503" s="29" t="n"/>
      <c r="P503" s="29" t="n"/>
      <c r="Q503" s="10" t="n"/>
      <c r="R503" s="30">
        <f>IF(OR(L503="",L503="N/A"),"",IF(L503="Tidak Ada",0,IF(P503="","",IF(P503="Tidak Sesuai",0,IF(AND(N503="Ya",O503="Ya",P503="Sesuai"),1,0.5)))))</f>
        <v/>
      </c>
      <c r="S503" s="30">
        <f>IF(L503="N/A","N/A",IF(R503="","Belum dinilai",IF(R503=1,"Memenuhi",IF(R503=0,"Tidak Memenuhi","Memenuhi Sebagian"))))</f>
        <v/>
      </c>
      <c r="T503" s="31" t="inlineStr">
        <is>
          <t>3.9-1</t>
        </is>
      </c>
      <c r="U503" s="63">
        <f>IF(COUNT(R503:R505)=0,"",SUM(R503:R505)/COUNT(R503:R505))</f>
        <v/>
      </c>
    </row>
    <row r="504" ht="39" customHeight="1">
      <c r="A504" s="77" t="n"/>
      <c r="B504" s="77" t="n"/>
      <c r="C504" s="77" t="n"/>
      <c r="D504" s="77" t="n"/>
      <c r="E504" s="32" t="inlineStr">
        <is>
          <t>B</t>
        </is>
      </c>
      <c r="F504" s="77" t="n"/>
      <c r="G504" s="77" t="n"/>
      <c r="H504" s="77" t="n"/>
      <c r="I504" s="28" t="n">
        <v>2</v>
      </c>
      <c r="J504" s="62" t="inlineStr">
        <is>
          <t>Hasil Monitoring Hak Akses</t>
        </is>
      </c>
      <c r="K504" s="78" t="inlineStr"/>
      <c r="L504" s="29" t="n"/>
      <c r="M504" s="10" t="n"/>
      <c r="N504" s="29" t="n"/>
      <c r="O504" s="29" t="n"/>
      <c r="P504" s="29" t="n"/>
      <c r="Q504" s="10" t="n"/>
      <c r="R504" s="30">
        <f>IF(OR(L504="",L504="N/A"),"",IF(L504="Tidak Ada",0,IF(P504="","",IF(P504="Tidak Sesuai",0,IF(AND(N504="Ya",O504="Ya",P504="Sesuai"),1,0.5)))))</f>
        <v/>
      </c>
      <c r="S504" s="30">
        <f>IF(L504="N/A","N/A",IF(R504="","Belum dinilai",IF(R504=1,"Memenuhi",IF(R504=0,"Tidak Memenuhi","Memenuhi Sebagian"))))</f>
        <v/>
      </c>
      <c r="T504" s="31" t="inlineStr">
        <is>
          <t>3.9-1</t>
        </is>
      </c>
      <c r="U504" s="77" t="n"/>
    </row>
    <row r="505" ht="39" customHeight="1">
      <c r="A505" s="77" t="n"/>
      <c r="B505" s="77" t="n"/>
      <c r="C505" s="77" t="n"/>
      <c r="D505" s="77" t="n"/>
      <c r="E505" s="32" t="inlineStr">
        <is>
          <t>B</t>
        </is>
      </c>
      <c r="F505" s="79" t="n"/>
      <c r="G505" s="79" t="n"/>
      <c r="H505" s="79" t="n"/>
      <c r="I505" s="28" t="n">
        <v>3</v>
      </c>
      <c r="J505" s="62" t="inlineStr">
        <is>
          <t>Matriks Tindak Lanjut</t>
        </is>
      </c>
      <c r="K505" s="78" t="inlineStr"/>
      <c r="L505" s="29" t="n"/>
      <c r="M505" s="10" t="n"/>
      <c r="N505" s="29" t="n"/>
      <c r="O505" s="29" t="n"/>
      <c r="P505" s="29" t="n"/>
      <c r="Q505" s="10" t="n"/>
      <c r="R505" s="30">
        <f>IF(OR(L505="",L505="N/A"),"",IF(L505="Tidak Ada",0,IF(P505="","",IF(P505="Tidak Sesuai",0,IF(AND(N505="Ya",O505="Ya",P505="Sesuai"),1,0.5)))))</f>
        <v/>
      </c>
      <c r="S505" s="30">
        <f>IF(L505="N/A","N/A",IF(R505="","Belum dinilai",IF(R505=1,"Memenuhi",IF(R505=0,"Tidak Memenuhi","Memenuhi Sebagian"))))</f>
        <v/>
      </c>
      <c r="T505" s="31" t="inlineStr">
        <is>
          <t>3.9-1</t>
        </is>
      </c>
      <c r="U505" s="79" t="n"/>
    </row>
    <row r="506" ht="27" customHeight="1">
      <c r="A506" s="77" t="n"/>
      <c r="B506" s="77" t="n"/>
      <c r="C506" s="77" t="n"/>
      <c r="D506" s="77" t="n"/>
      <c r="E506" s="33" t="inlineStr">
        <is>
          <t>C</t>
        </is>
      </c>
      <c r="F506" s="62" t="inlineStr">
        <is>
          <t>C – Implementasi</t>
        </is>
      </c>
      <c r="G506" s="62" t="inlineStr">
        <is>
          <t>Terhadap sumber daya dan pencatatannya telah dilakukan pembatasan akses sesuai dengan ketentuan</t>
        </is>
      </c>
      <c r="H506" s="62" t="inlineStr">
        <is>
          <t>Terhadap sumber daya dan pencatatannya telah dilakukan pembatasan akses sesuai dengan ketentuan</t>
        </is>
      </c>
      <c r="I506" s="28" t="n">
        <v>1</v>
      </c>
      <c r="J506" s="62" t="inlineStr">
        <is>
          <t>Daftar Hak Akses Pengguna</t>
        </is>
      </c>
      <c r="K506" s="78" t="inlineStr"/>
      <c r="L506" s="29" t="n"/>
      <c r="M506" s="10" t="n"/>
      <c r="N506" s="29" t="n"/>
      <c r="O506" s="29" t="n"/>
      <c r="P506" s="29" t="n"/>
      <c r="Q506" s="10" t="n"/>
      <c r="R506" s="30">
        <f>IF(OR(L506="",L506="N/A"),"",IF(L506="Tidak Ada",0,IF(P506="","",IF(P506="Tidak Sesuai",0,IF(AND(N506="Ya",O506="Ya",P506="Sesuai"),1,0.5)))))</f>
        <v/>
      </c>
      <c r="S506" s="30">
        <f>IF(L506="N/A","N/A",IF(R506="","Belum dinilai",IF(R506=1,"Memenuhi",IF(R506=0,"Tidak Memenuhi","Memenuhi Sebagian"))))</f>
        <v/>
      </c>
      <c r="T506" s="31" t="inlineStr">
        <is>
          <t>3.9-1</t>
        </is>
      </c>
      <c r="U506" s="63">
        <f>IF(COUNT(R506:R508)=0,"",SUM(R506:R508)/COUNT(R506:R508))</f>
        <v/>
      </c>
    </row>
    <row r="507" ht="27" customHeight="1">
      <c r="A507" s="77" t="n"/>
      <c r="B507" s="77" t="n"/>
      <c r="C507" s="77" t="n"/>
      <c r="D507" s="77" t="n"/>
      <c r="E507" s="33" t="inlineStr">
        <is>
          <t>C</t>
        </is>
      </c>
      <c r="F507" s="77" t="n"/>
      <c r="G507" s="77" t="n"/>
      <c r="H507" s="77" t="n"/>
      <c r="I507" s="28" t="n">
        <v>2</v>
      </c>
      <c r="J507" s="62" t="inlineStr">
        <is>
          <t>SK/Surat Penetapan Hak Akses</t>
        </is>
      </c>
      <c r="K507" s="78" t="inlineStr"/>
      <c r="L507" s="29" t="inlineStr">
        <is>
          <t>Ada</t>
        </is>
      </c>
      <c r="M507" s="66" t="inlineStr">
        <is>
          <t>SK Pengelola Sistem</t>
        </is>
      </c>
      <c r="N507" s="29" t="inlineStr">
        <is>
          <t>Ya</t>
        </is>
      </c>
      <c r="O507" s="29" t="inlineStr">
        <is>
          <t>Ya</t>
        </is>
      </c>
      <c r="P507" s="29" t="inlineStr">
        <is>
          <t>Sesuai</t>
        </is>
      </c>
      <c r="Q507" s="10" t="n"/>
      <c r="R507" s="30">
        <f>IF(OR(L507="",L507="N/A"),"",IF(L507="Tidak Ada",0,IF(P507="","",IF(P507="Tidak Sesuai",0,IF(AND(N507="Ya",O507="Ya",P507="Sesuai"),1,0.5)))))</f>
        <v/>
      </c>
      <c r="S507" s="30">
        <f>IF(L507="N/A","N/A",IF(R507="","Belum dinilai",IF(R507=1,"Memenuhi",IF(R507=0,"Tidak Memenuhi","Memenuhi Sebagian"))))</f>
        <v/>
      </c>
      <c r="T507" s="31" t="inlineStr">
        <is>
          <t>3.9-1</t>
        </is>
      </c>
      <c r="U507" s="77" t="n"/>
    </row>
    <row r="508" ht="27" customHeight="1">
      <c r="A508" s="77" t="n"/>
      <c r="B508" s="77" t="n"/>
      <c r="C508" s="77" t="n"/>
      <c r="D508" s="77" t="n"/>
      <c r="E508" s="33" t="inlineStr">
        <is>
          <t>C</t>
        </is>
      </c>
      <c r="F508" s="79" t="n"/>
      <c r="G508" s="79" t="n"/>
      <c r="H508" s="79" t="n"/>
      <c r="I508" s="28" t="n">
        <v>3</v>
      </c>
      <c r="J508" s="62" t="inlineStr">
        <is>
          <t>Log Akses Sistem/Daftar Akses Sumber Daya</t>
        </is>
      </c>
      <c r="K508" s="78" t="inlineStr"/>
      <c r="L508" s="29" t="n"/>
      <c r="M508" s="10" t="n"/>
      <c r="N508" s="29" t="n"/>
      <c r="O508" s="29" t="n"/>
      <c r="P508" s="29" t="n"/>
      <c r="Q508" s="10" t="n"/>
      <c r="R508" s="30">
        <f>IF(OR(L508="",L508="N/A"),"",IF(L508="Tidak Ada",0,IF(P508="","",IF(P508="Tidak Sesuai",0,IF(AND(N508="Ya",O508="Ya",P508="Sesuai"),1,0.5)))))</f>
        <v/>
      </c>
      <c r="S508" s="30">
        <f>IF(L508="N/A","N/A",IF(R508="","Belum dinilai",IF(R508=1,"Memenuhi",IF(R508=0,"Tidak Memenuhi","Memenuhi Sebagian"))))</f>
        <v/>
      </c>
      <c r="T508" s="31" t="inlineStr">
        <is>
          <t>3.9-1</t>
        </is>
      </c>
      <c r="U508" s="79" t="n"/>
    </row>
    <row r="509" ht="39" customHeight="1">
      <c r="A509" s="77" t="n"/>
      <c r="B509" s="77" t="n"/>
      <c r="C509" s="77" t="n"/>
      <c r="D509" s="77" t="n"/>
      <c r="E509" s="34" t="inlineStr">
        <is>
          <t>D</t>
        </is>
      </c>
      <c r="F509" s="62" t="inlineStr">
        <is>
          <t>D – Komunikasi &amp; Pemahaman</t>
        </is>
      </c>
      <c r="G509" s="62" t="inlineStr">
        <is>
          <t>Kebijakan terkait pembatasan akses terhadap sumber daya dan pencatatannya telah dikomunikasikan dan dipahami oleh pihak yang berkepentingan</t>
        </is>
      </c>
      <c r="H509" s="62" t="inlineStr">
        <is>
          <t>Kebijakan terkait pembatasan akses terhadap sumber daya dan pencatatannya telah dikomunikasikan dan dipahami oleh pihak yang berkepentingan</t>
        </is>
      </c>
      <c r="I509" s="28" t="n">
        <v>1</v>
      </c>
      <c r="J509" s="62" t="inlineStr">
        <is>
          <t>Bukti Sosialisasi Kebijakan Hak Akses</t>
        </is>
      </c>
      <c r="K509" s="78" t="inlineStr"/>
      <c r="L509" s="29" t="n"/>
      <c r="M509" s="10" t="n"/>
      <c r="N509" s="29" t="n"/>
      <c r="O509" s="29" t="n"/>
      <c r="P509" s="29" t="n"/>
      <c r="Q509" s="10" t="n"/>
      <c r="R509" s="30">
        <f>IF(OR(L509="",L509="N/A"),"",IF(L509="Tidak Ada",0,IF(P509="","",IF(P509="Tidak Sesuai",0,IF(AND(N509="Ya",O509="Ya",P509="Sesuai"),1,0.5)))))</f>
        <v/>
      </c>
      <c r="S509" s="30">
        <f>IF(L509="N/A","N/A",IF(R509="","Belum dinilai",IF(R509=1,"Memenuhi",IF(R509=0,"Tidak Memenuhi","Memenuhi Sebagian"))))</f>
        <v/>
      </c>
      <c r="T509" s="31" t="inlineStr">
        <is>
          <t>3.9-1</t>
        </is>
      </c>
      <c r="U509" s="63">
        <f>IF(COUNT(R509:R510)=0,"",SUM(R509:R510)/COUNT(R509:R510))</f>
        <v/>
      </c>
    </row>
    <row r="510" ht="39" customHeight="1">
      <c r="A510" s="77" t="n"/>
      <c r="B510" s="77" t="n"/>
      <c r="C510" s="77" t="n"/>
      <c r="D510" s="77" t="n"/>
      <c r="E510" s="34" t="inlineStr">
        <is>
          <t>D</t>
        </is>
      </c>
      <c r="F510" s="79" t="n"/>
      <c r="G510" s="79" t="n"/>
      <c r="H510" s="79" t="n"/>
      <c r="I510" s="28" t="n">
        <v>2</v>
      </c>
      <c r="J510" s="62" t="inlineStr">
        <is>
          <t>Daftar Pengguna yang Memiliki Akses</t>
        </is>
      </c>
      <c r="K510" s="78" t="inlineStr"/>
      <c r="L510" s="29" t="n"/>
      <c r="M510" s="10" t="n"/>
      <c r="N510" s="29" t="n"/>
      <c r="O510" s="29" t="n"/>
      <c r="P510" s="29" t="n"/>
      <c r="Q510" s="10" t="n"/>
      <c r="R510" s="30">
        <f>IF(OR(L510="",L510="N/A"),"",IF(L510="Tidak Ada",0,IF(P510="","",IF(P510="Tidak Sesuai",0,IF(AND(N510="Ya",O510="Ya",P510="Sesuai"),1,0.5)))))</f>
        <v/>
      </c>
      <c r="S510" s="30">
        <f>IF(L510="N/A","N/A",IF(R510="","Belum dinilai",IF(R510=1,"Memenuhi",IF(R510=0,"Tidak Memenuhi","Memenuhi Sebagian"))))</f>
        <v/>
      </c>
      <c r="T510" s="31" t="inlineStr">
        <is>
          <t>3.9-1</t>
        </is>
      </c>
      <c r="U510" s="79" t="n"/>
    </row>
    <row r="511" ht="39" customHeight="1">
      <c r="A511" s="77" t="n"/>
      <c r="B511" s="77" t="n"/>
      <c r="C511" s="77" t="n"/>
      <c r="D511" s="77" t="n"/>
      <c r="E511" s="35" t="inlineStr">
        <is>
          <t>E</t>
        </is>
      </c>
      <c r="F511" s="62" t="inlineStr">
        <is>
          <t>E – Kebijakan/Formalitas</t>
        </is>
      </c>
      <c r="G511" s="62" t="inlineStr">
        <is>
          <t>Terdapat kebijakan yang mengatur prosedur pembatasan akses terhadap sumber daya yang dimiliki organisasi beserta pencatatannya</t>
        </is>
      </c>
      <c r="H511" s="62" t="inlineStr">
        <is>
          <t>Terdapat kebijakan yang mengatur prosedur pembatasan akses terhadap sumber daya yang dimiliki organisasi beserta pencatatannya</t>
        </is>
      </c>
      <c r="I511" s="28" t="n">
        <v>1</v>
      </c>
      <c r="J511" s="62" t="inlineStr">
        <is>
          <t>Kebijakan/SOP Pengendalian Hak Akses</t>
        </is>
      </c>
      <c r="K511" s="78" t="inlineStr"/>
      <c r="L511" s="29" t="n"/>
      <c r="M511" s="10" t="n"/>
      <c r="N511" s="29" t="n"/>
      <c r="O511" s="29" t="n"/>
      <c r="P511" s="29" t="n"/>
      <c r="Q511" s="10" t="n"/>
      <c r="R511" s="30">
        <f>IF(OR(L511="",L511="N/A"),"",IF(L511="Tidak Ada",0,IF(P511="","",IF(P511="Tidak Sesuai",0,IF(AND(N511="Ya",O511="Ya",P511="Sesuai"),1,0.5)))))</f>
        <v/>
      </c>
      <c r="S511" s="30">
        <f>IF(L511="N/A","N/A",IF(R511="","Belum dinilai",IF(R511=1,"Memenuhi",IF(R511=0,"Tidak Memenuhi","Memenuhi Sebagian"))))</f>
        <v/>
      </c>
      <c r="T511" s="31" t="inlineStr">
        <is>
          <t>3.9-1</t>
        </is>
      </c>
      <c r="U511" s="63">
        <f>IF(COUNT(R511:R512)=0,"",SUM(R511:R512)/COUNT(R511:R512))</f>
        <v/>
      </c>
    </row>
    <row r="512" ht="39" customHeight="1">
      <c r="A512" s="79" t="n"/>
      <c r="B512" s="79" t="n"/>
      <c r="C512" s="79" t="n"/>
      <c r="D512" s="79" t="n"/>
      <c r="E512" s="35" t="inlineStr">
        <is>
          <t>E</t>
        </is>
      </c>
      <c r="F512" s="79" t="n"/>
      <c r="G512" s="79" t="n"/>
      <c r="H512" s="79" t="n"/>
      <c r="I512" s="28" t="n">
        <v>2</v>
      </c>
      <c r="J512" s="62" t="inlineStr">
        <is>
          <t>SK Penetapan Hak Akses</t>
        </is>
      </c>
      <c r="K512" s="78" t="inlineStr"/>
      <c r="L512" s="29" t="n"/>
      <c r="M512" s="10" t="n"/>
      <c r="N512" s="29" t="n"/>
      <c r="O512" s="29" t="n"/>
      <c r="P512" s="29" t="n"/>
      <c r="Q512" s="10" t="n"/>
      <c r="R512" s="30">
        <f>IF(OR(L512="",L512="N/A"),"",IF(L512="Tidak Ada",0,IF(P512="","",IF(P512="Tidak Sesuai",0,IF(AND(N512="Ya",O512="Ya",P512="Sesuai"),1,0.5)))))</f>
        <v/>
      </c>
      <c r="S512" s="30">
        <f>IF(L512="N/A","N/A",IF(R512="","Belum dinilai",IF(R512=1,"Memenuhi",IF(R512=0,"Tidak Memenuhi","Memenuhi Sebagian"))))</f>
        <v/>
      </c>
      <c r="T512" s="31" t="inlineStr">
        <is>
          <t>3.9-1</t>
        </is>
      </c>
      <c r="U512" s="79" t="n"/>
    </row>
    <row r="513" ht="39" customHeight="1">
      <c r="A513" s="56" t="inlineStr">
        <is>
          <t>3.10</t>
        </is>
      </c>
      <c r="B513" s="57" t="inlineStr">
        <is>
          <t>Akuntabilitas terhadap Sumber Daya dan Pencatatannya</t>
        </is>
      </c>
      <c r="C513" s="58" t="n">
        <v>1</v>
      </c>
      <c r="D513" s="59" t="inlineStr">
        <is>
          <t>Terdapat pertanggungjawaban seseorang atau unit organisasi dalam mengelola sumber daya yang diberikan/dikuasakan kepadanya dalam rangka pencapaian tujuan organisasi</t>
        </is>
      </c>
      <c r="E513" s="21" t="inlineStr">
        <is>
          <t>A</t>
        </is>
      </c>
      <c r="F513" s="60" t="inlineStr">
        <is>
          <t>A – Perbaikan Berkelanjutan</t>
        </is>
      </c>
      <c r="G513" s="60" t="inlineStr">
        <is>
          <t>Pertanggungjawaban terhadap sumber daya dan pencatatannya telah diperbaiki secara berkelanjutan dan secara optimal mampu mendukung pencapaian tujuan organisasi</t>
        </is>
      </c>
      <c r="H513" s="60" t="inlineStr">
        <is>
          <t>Pertanggungjawaban terhadap sumber daya dan pencatatannya telah diperbaiki secara berkelanjutan dan secara optimal mampu mendukung pencapaian tujuan organisasi</t>
        </is>
      </c>
      <c r="I513" s="22" t="n">
        <v>1</v>
      </c>
      <c r="J513" s="60" t="inlineStr">
        <is>
          <t>Laporan Evaluasi Akuntabilitas Pengelolaan Sumber Daya</t>
        </is>
      </c>
      <c r="K513" s="76" t="inlineStr"/>
      <c r="L513" s="23" t="n"/>
      <c r="M513" s="24" t="n"/>
      <c r="N513" s="23" t="n"/>
      <c r="O513" s="23" t="n"/>
      <c r="P513" s="23" t="n"/>
      <c r="Q513" s="24" t="n"/>
      <c r="R513" s="25">
        <f>IF(OR(L513="",L513="N/A"),"",IF(L513="Tidak Ada",0,IF(P513="","",IF(P513="Tidak Sesuai",0,IF(AND(N513="Ya",O513="Ya",P513="Sesuai"),1,0.5)))))</f>
        <v/>
      </c>
      <c r="S513" s="25">
        <f>IF(L513="N/A","N/A",IF(R513="","Belum dinilai",IF(R513=1,"Memenuhi",IF(R513=0,"Tidak Memenuhi","Memenuhi Sebagian"))))</f>
        <v/>
      </c>
      <c r="T513" s="26" t="inlineStr">
        <is>
          <t>3.10-1</t>
        </is>
      </c>
      <c r="U513" s="61">
        <f>IF(COUNT(R513:R515)=0,"",SUM(R513:R515)/COUNT(R513:R515))</f>
        <v/>
      </c>
    </row>
    <row r="514" ht="39" customHeight="1">
      <c r="A514" s="77" t="n"/>
      <c r="B514" s="77" t="n"/>
      <c r="C514" s="77" t="n"/>
      <c r="D514" s="77" t="n"/>
      <c r="E514" s="27" t="inlineStr">
        <is>
          <t>A</t>
        </is>
      </c>
      <c r="F514" s="77" t="n"/>
      <c r="G514" s="77" t="n"/>
      <c r="H514" s="77" t="n"/>
      <c r="I514" s="28" t="n">
        <v>2</v>
      </c>
      <c r="J514" s="62" t="inlineStr">
        <is>
          <t>Matriks Tindak Lanjut</t>
        </is>
      </c>
      <c r="K514" s="78" t="inlineStr"/>
      <c r="L514" s="29" t="n"/>
      <c r="M514" s="10" t="n"/>
      <c r="N514" s="29" t="n"/>
      <c r="O514" s="29" t="n"/>
      <c r="P514" s="29" t="n"/>
      <c r="Q514" s="10" t="n"/>
      <c r="R514" s="30">
        <f>IF(OR(L514="",L514="N/A"),"",IF(L514="Tidak Ada",0,IF(P514="","",IF(P514="Tidak Sesuai",0,IF(AND(N514="Ya",O514="Ya",P514="Sesuai"),1,0.5)))))</f>
        <v/>
      </c>
      <c r="S514" s="30">
        <f>IF(L514="N/A","N/A",IF(R514="","Belum dinilai",IF(R514=1,"Memenuhi",IF(R514=0,"Tidak Memenuhi","Memenuhi Sebagian"))))</f>
        <v/>
      </c>
      <c r="T514" s="31" t="inlineStr">
        <is>
          <t>3.10-1</t>
        </is>
      </c>
      <c r="U514" s="77" t="n"/>
    </row>
    <row r="515" ht="39" customHeight="1">
      <c r="A515" s="77" t="n"/>
      <c r="B515" s="77" t="n"/>
      <c r="C515" s="77" t="n"/>
      <c r="D515" s="77" t="n"/>
      <c r="E515" s="27" t="inlineStr">
        <is>
          <t>A</t>
        </is>
      </c>
      <c r="F515" s="79" t="n"/>
      <c r="G515" s="79" t="n"/>
      <c r="H515" s="79" t="n"/>
      <c r="I515" s="28" t="n">
        <v>3</v>
      </c>
      <c r="J515" s="62" t="inlineStr">
        <is>
          <t>Bukti Perbaikan Pengelolaan Sumber Daya</t>
        </is>
      </c>
      <c r="K515" s="78" t="inlineStr"/>
      <c r="L515" s="29" t="n"/>
      <c r="M515" s="10" t="n"/>
      <c r="N515" s="29" t="n"/>
      <c r="O515" s="29" t="n"/>
      <c r="P515" s="29" t="n"/>
      <c r="Q515" s="10" t="n"/>
      <c r="R515" s="30">
        <f>IF(OR(L515="",L515="N/A"),"",IF(L515="Tidak Ada",0,IF(P515="","",IF(P515="Tidak Sesuai",0,IF(AND(N515="Ya",O515="Ya",P515="Sesuai"),1,0.5)))))</f>
        <v/>
      </c>
      <c r="S515" s="30">
        <f>IF(L515="N/A","N/A",IF(R515="","Belum dinilai",IF(R515=1,"Memenuhi",IF(R515=0,"Tidak Memenuhi","Memenuhi Sebagian"))))</f>
        <v/>
      </c>
      <c r="T515" s="31" t="inlineStr">
        <is>
          <t>3.10-1</t>
        </is>
      </c>
      <c r="U515" s="79" t="n"/>
    </row>
    <row r="516" ht="27" customHeight="1">
      <c r="A516" s="77" t="n"/>
      <c r="B516" s="77" t="n"/>
      <c r="C516" s="77" t="n"/>
      <c r="D516" s="77" t="n"/>
      <c r="E516" s="32" t="inlineStr">
        <is>
          <t>B</t>
        </is>
      </c>
      <c r="F516" s="62" t="inlineStr">
        <is>
          <t>B – Evaluasi &amp; Tindak Lanjut</t>
        </is>
      </c>
      <c r="G516" s="62" t="inlineStr">
        <is>
          <t>Kebijakan dan implementasi terkait akuntabilitas sumber daya dan pencatatannya telah dievaluasi sehingga dapat diketahui efektivitasnya</t>
        </is>
      </c>
      <c r="H516" s="62" t="inlineStr">
        <is>
          <t>Kebijakan dan implementasi terkait akuntabilitas sumber daya dan pencatatannya telah dievaluasi sehingga dapat diketahui efektivitasnya</t>
        </is>
      </c>
      <c r="I516" s="28" t="n">
        <v>1</v>
      </c>
      <c r="J516" s="62" t="inlineStr">
        <is>
          <t>Laporan Evaluasi Akuntabilitas Sumber Daya</t>
        </is>
      </c>
      <c r="K516" s="78" t="inlineStr"/>
      <c r="L516" s="29" t="n"/>
      <c r="M516" s="10" t="n"/>
      <c r="N516" s="29" t="n"/>
      <c r="O516" s="29" t="n"/>
      <c r="P516" s="29" t="n"/>
      <c r="Q516" s="10" t="n"/>
      <c r="R516" s="30">
        <f>IF(OR(L516="",L516="N/A"),"",IF(L516="Tidak Ada",0,IF(P516="","",IF(P516="Tidak Sesuai",0,IF(AND(N516="Ya",O516="Ya",P516="Sesuai"),1,0.5)))))</f>
        <v/>
      </c>
      <c r="S516" s="30">
        <f>IF(L516="N/A","N/A",IF(R516="","Belum dinilai",IF(R516=1,"Memenuhi",IF(R516=0,"Tidak Memenuhi","Memenuhi Sebagian"))))</f>
        <v/>
      </c>
      <c r="T516" s="31" t="inlineStr">
        <is>
          <t>3.10-1</t>
        </is>
      </c>
      <c r="U516" s="63">
        <f>IF(COUNT(R516:R518)=0,"",SUM(R516:R518)/COUNT(R516:R518))</f>
        <v/>
      </c>
    </row>
    <row r="517" ht="27" customHeight="1">
      <c r="A517" s="77" t="n"/>
      <c r="B517" s="77" t="n"/>
      <c r="C517" s="77" t="n"/>
      <c r="D517" s="77" t="n"/>
      <c r="E517" s="32" t="inlineStr">
        <is>
          <t>B</t>
        </is>
      </c>
      <c r="F517" s="77" t="n"/>
      <c r="G517" s="77" t="n"/>
      <c r="H517" s="77" t="n"/>
      <c r="I517" s="28" t="n">
        <v>2</v>
      </c>
      <c r="J517" s="62" t="inlineStr">
        <is>
          <t>Hasil Monitoring</t>
        </is>
      </c>
      <c r="K517" s="78" t="inlineStr"/>
      <c r="L517" s="29" t="n"/>
      <c r="M517" s="10" t="n"/>
      <c r="N517" s="29" t="n"/>
      <c r="O517" s="29" t="n"/>
      <c r="P517" s="29" t="n"/>
      <c r="Q517" s="10" t="n"/>
      <c r="R517" s="30">
        <f>IF(OR(L517="",L517="N/A"),"",IF(L517="Tidak Ada",0,IF(P517="","",IF(P517="Tidak Sesuai",0,IF(AND(N517="Ya",O517="Ya",P517="Sesuai"),1,0.5)))))</f>
        <v/>
      </c>
      <c r="S517" s="30">
        <f>IF(L517="N/A","N/A",IF(R517="","Belum dinilai",IF(R517=1,"Memenuhi",IF(R517=0,"Tidak Memenuhi","Memenuhi Sebagian"))))</f>
        <v/>
      </c>
      <c r="T517" s="31" t="inlineStr">
        <is>
          <t>3.10-1</t>
        </is>
      </c>
      <c r="U517" s="77" t="n"/>
    </row>
    <row r="518" ht="27" customHeight="1">
      <c r="A518" s="77" t="n"/>
      <c r="B518" s="77" t="n"/>
      <c r="C518" s="77" t="n"/>
      <c r="D518" s="77" t="n"/>
      <c r="E518" s="32" t="inlineStr">
        <is>
          <t>B</t>
        </is>
      </c>
      <c r="F518" s="79" t="n"/>
      <c r="G518" s="79" t="n"/>
      <c r="H518" s="79" t="n"/>
      <c r="I518" s="28" t="n">
        <v>3</v>
      </c>
      <c r="J518" s="62" t="inlineStr">
        <is>
          <t>Matriks Tindak Lanjut</t>
        </is>
      </c>
      <c r="K518" s="78" t="inlineStr"/>
      <c r="L518" s="29" t="n"/>
      <c r="M518" s="10" t="n"/>
      <c r="N518" s="29" t="n"/>
      <c r="O518" s="29" t="n"/>
      <c r="P518" s="29" t="n"/>
      <c r="Q518" s="10" t="n"/>
      <c r="R518" s="30">
        <f>IF(OR(L518="",L518="N/A"),"",IF(L518="Tidak Ada",0,IF(P518="","",IF(P518="Tidak Sesuai",0,IF(AND(N518="Ya",O518="Ya",P518="Sesuai"),1,0.5)))))</f>
        <v/>
      </c>
      <c r="S518" s="30">
        <f>IF(L518="N/A","N/A",IF(R518="","Belum dinilai",IF(R518=1,"Memenuhi",IF(R518=0,"Tidak Memenuhi","Memenuhi Sebagian"))))</f>
        <v/>
      </c>
      <c r="T518" s="31" t="inlineStr">
        <is>
          <t>3.10-1</t>
        </is>
      </c>
      <c r="U518" s="79" t="n"/>
    </row>
    <row r="519" ht="27" customHeight="1">
      <c r="A519" s="77" t="n"/>
      <c r="B519" s="77" t="n"/>
      <c r="C519" s="77" t="n"/>
      <c r="D519" s="77" t="n"/>
      <c r="E519" s="33" t="inlineStr">
        <is>
          <t>C</t>
        </is>
      </c>
      <c r="F519" s="62" t="inlineStr">
        <is>
          <t>C – Implementasi</t>
        </is>
      </c>
      <c r="G519" s="62" t="inlineStr">
        <is>
          <t>Sumber daya dan pencatatannya telah dipertanggungjawabkan oleh pihak/pegawai yang ditetapkan sesuai kebijakan/prosedur yang ditetapkan</t>
        </is>
      </c>
      <c r="H519" s="62" t="inlineStr">
        <is>
          <t>Sumber daya dan pencatatannya telah dipertanggungjawabkan oleh pihak/pegawai yang ditetapkan sesuai kebijakan/prosedur yang ditetapkan</t>
        </is>
      </c>
      <c r="I519" s="28" t="n">
        <v>1</v>
      </c>
      <c r="J519" s="62" t="inlineStr">
        <is>
          <t>SK Penetapan Pengelola/Penanggung Jawab Sumber Daya</t>
        </is>
      </c>
      <c r="K519" s="78" t="inlineStr"/>
      <c r="L519" s="29" t="inlineStr">
        <is>
          <t>Ada</t>
        </is>
      </c>
      <c r="M519" s="66" t="inlineStr">
        <is>
          <t>SK PPTK/bendahara</t>
        </is>
      </c>
      <c r="N519" s="29" t="inlineStr">
        <is>
          <t>Ya</t>
        </is>
      </c>
      <c r="O519" s="29" t="inlineStr">
        <is>
          <t>Ya</t>
        </is>
      </c>
      <c r="P519" s="29" t="inlineStr">
        <is>
          <t>Sesuai</t>
        </is>
      </c>
      <c r="Q519" s="10" t="n"/>
      <c r="R519" s="30">
        <f>IF(OR(L519="",L519="N/A"),"",IF(L519="Tidak Ada",0,IF(P519="","",IF(P519="Tidak Sesuai",0,IF(AND(N519="Ya",O519="Ya",P519="Sesuai"),1,0.5)))))</f>
        <v/>
      </c>
      <c r="S519" s="30">
        <f>IF(L519="N/A","N/A",IF(R519="","Belum dinilai",IF(R519=1,"Memenuhi",IF(R519=0,"Tidak Memenuhi","Memenuhi Sebagian"))))</f>
        <v/>
      </c>
      <c r="T519" s="31" t="inlineStr">
        <is>
          <t>3.10-1</t>
        </is>
      </c>
      <c r="U519" s="63">
        <f>IF(COUNT(R519:R521)=0,"",SUM(R519:R521)/COUNT(R519:R521))</f>
        <v/>
      </c>
    </row>
    <row r="520" ht="27" customHeight="1">
      <c r="A520" s="77" t="n"/>
      <c r="B520" s="77" t="n"/>
      <c r="C520" s="77" t="n"/>
      <c r="D520" s="77" t="n"/>
      <c r="E520" s="33" t="inlineStr">
        <is>
          <t>C</t>
        </is>
      </c>
      <c r="F520" s="77" t="n"/>
      <c r="G520" s="77" t="n"/>
      <c r="H520" s="77" t="n"/>
      <c r="I520" s="28" t="n">
        <v>2</v>
      </c>
      <c r="J520" s="62" t="inlineStr">
        <is>
          <t>Laporan Pertanggungjawaban</t>
        </is>
      </c>
      <c r="K520" s="78" t="inlineStr"/>
      <c r="L520" s="29" t="n"/>
      <c r="M520" s="10" t="n"/>
      <c r="N520" s="29" t="n"/>
      <c r="O520" s="29" t="n"/>
      <c r="P520" s="29" t="n"/>
      <c r="Q520" s="10" t="n"/>
      <c r="R520" s="30">
        <f>IF(OR(L520="",L520="N/A"),"",IF(L520="Tidak Ada",0,IF(P520="","",IF(P520="Tidak Sesuai",0,IF(AND(N520="Ya",O520="Ya",P520="Sesuai"),1,0.5)))))</f>
        <v/>
      </c>
      <c r="S520" s="30">
        <f>IF(L520="N/A","N/A",IF(R520="","Belum dinilai",IF(R520=1,"Memenuhi",IF(R520=0,"Tidak Memenuhi","Memenuhi Sebagian"))))</f>
        <v/>
      </c>
      <c r="T520" s="31" t="inlineStr">
        <is>
          <t>3.10-1</t>
        </is>
      </c>
      <c r="U520" s="77" t="n"/>
    </row>
    <row r="521" ht="27" customHeight="1">
      <c r="A521" s="77" t="n"/>
      <c r="B521" s="77" t="n"/>
      <c r="C521" s="77" t="n"/>
      <c r="D521" s="77" t="n"/>
      <c r="E521" s="33" t="inlineStr">
        <is>
          <t>C</t>
        </is>
      </c>
      <c r="F521" s="79" t="n"/>
      <c r="G521" s="79" t="n"/>
      <c r="H521" s="79" t="n"/>
      <c r="I521" s="28" t="n">
        <v>3</v>
      </c>
      <c r="J521" s="62" t="inlineStr">
        <is>
          <t>Berita Acara Serah Terima/Serah Terima Aset</t>
        </is>
      </c>
      <c r="K521" s="78" t="inlineStr"/>
      <c r="L521" s="29" t="n"/>
      <c r="M521" s="10" t="n"/>
      <c r="N521" s="29" t="n"/>
      <c r="O521" s="29" t="n"/>
      <c r="P521" s="29" t="n"/>
      <c r="Q521" s="10" t="n"/>
      <c r="R521" s="30">
        <f>IF(OR(L521="",L521="N/A"),"",IF(L521="Tidak Ada",0,IF(P521="","",IF(P521="Tidak Sesuai",0,IF(AND(N521="Ya",O521="Ya",P521="Sesuai"),1,0.5)))))</f>
        <v/>
      </c>
      <c r="S521" s="30">
        <f>IF(L521="N/A","N/A",IF(R521="","Belum dinilai",IF(R521=1,"Memenuhi",IF(R521=0,"Tidak Memenuhi","Memenuhi Sebagian"))))</f>
        <v/>
      </c>
      <c r="T521" s="31" t="inlineStr">
        <is>
          <t>3.10-1</t>
        </is>
      </c>
      <c r="U521" s="79" t="n"/>
    </row>
    <row r="522" ht="39" customHeight="1">
      <c r="A522" s="77" t="n"/>
      <c r="B522" s="77" t="n"/>
      <c r="C522" s="77" t="n"/>
      <c r="D522" s="77" t="n"/>
      <c r="E522" s="34" t="inlineStr">
        <is>
          <t>D</t>
        </is>
      </c>
      <c r="F522" s="62" t="inlineStr">
        <is>
          <t>D – Komunikasi &amp; Pemahaman</t>
        </is>
      </c>
      <c r="G522" s="62" t="inlineStr">
        <is>
          <t>Kebijakan terkait pertanggungjawaban sumber daya dan pencatatannya telah dikomunikasikan dan dipahami oleh pihak yang berkepentingan</t>
        </is>
      </c>
      <c r="H522" s="62" t="inlineStr">
        <is>
          <t>Kebijakan terkait pertanggungjawaban sumber daya dan pencatatannya telah dikomunikasikan dan dipahami oleh pihak yang berkepentingan</t>
        </is>
      </c>
      <c r="I522" s="28" t="n">
        <v>1</v>
      </c>
      <c r="J522" s="62" t="inlineStr">
        <is>
          <t>Bukti Sosialisasi Kebijakan Pertanggungjawaban Sumber Daya</t>
        </is>
      </c>
      <c r="K522" s="78" t="inlineStr"/>
      <c r="L522" s="29" t="n"/>
      <c r="M522" s="10" t="n"/>
      <c r="N522" s="29" t="n"/>
      <c r="O522" s="29" t="n"/>
      <c r="P522" s="29" t="n"/>
      <c r="Q522" s="10" t="n"/>
      <c r="R522" s="30">
        <f>IF(OR(L522="",L522="N/A"),"",IF(L522="Tidak Ada",0,IF(P522="","",IF(P522="Tidak Sesuai",0,IF(AND(N522="Ya",O522="Ya",P522="Sesuai"),1,0.5)))))</f>
        <v/>
      </c>
      <c r="S522" s="30">
        <f>IF(L522="N/A","N/A",IF(R522="","Belum dinilai",IF(R522=1,"Memenuhi",IF(R522=0,"Tidak Memenuhi","Memenuhi Sebagian"))))</f>
        <v/>
      </c>
      <c r="T522" s="31" t="inlineStr">
        <is>
          <t>3.10-1</t>
        </is>
      </c>
      <c r="U522" s="63">
        <f>IF(COUNT(R522:R523)=0,"",SUM(R522:R523)/COUNT(R522:R523))</f>
        <v/>
      </c>
    </row>
    <row r="523" ht="39" customHeight="1">
      <c r="A523" s="77" t="n"/>
      <c r="B523" s="77" t="n"/>
      <c r="C523" s="77" t="n"/>
      <c r="D523" s="77" t="n"/>
      <c r="E523" s="34" t="inlineStr">
        <is>
          <t>D</t>
        </is>
      </c>
      <c r="F523" s="79" t="n"/>
      <c r="G523" s="79" t="n"/>
      <c r="H523" s="79" t="n"/>
      <c r="I523" s="28" t="n">
        <v>2</v>
      </c>
      <c r="J523" s="62" t="inlineStr">
        <is>
          <t>Daftar Penanggung Jawab Sumber Daya</t>
        </is>
      </c>
      <c r="K523" s="78" t="inlineStr"/>
      <c r="L523" s="29" t="n"/>
      <c r="M523" s="10" t="n"/>
      <c r="N523" s="29" t="n"/>
      <c r="O523" s="29" t="n"/>
      <c r="P523" s="29" t="n"/>
      <c r="Q523" s="10" t="n"/>
      <c r="R523" s="30">
        <f>IF(OR(L523="",L523="N/A"),"",IF(L523="Tidak Ada",0,IF(P523="","",IF(P523="Tidak Sesuai",0,IF(AND(N523="Ya",O523="Ya",P523="Sesuai"),1,0.5)))))</f>
        <v/>
      </c>
      <c r="S523" s="30">
        <f>IF(L523="N/A","N/A",IF(R523="","Belum dinilai",IF(R523=1,"Memenuhi",IF(R523=0,"Tidak Memenuhi","Memenuhi Sebagian"))))</f>
        <v/>
      </c>
      <c r="T523" s="31" t="inlineStr">
        <is>
          <t>3.10-1</t>
        </is>
      </c>
      <c r="U523" s="79" t="n"/>
    </row>
    <row r="524" ht="51" customHeight="1">
      <c r="A524" s="79" t="n"/>
      <c r="B524" s="79" t="n"/>
      <c r="C524" s="79" t="n"/>
      <c r="D524" s="79" t="n"/>
      <c r="E524" s="35" t="inlineStr">
        <is>
          <t>E</t>
        </is>
      </c>
      <c r="F524" s="62" t="inlineStr">
        <is>
          <t>E – Kebijakan/Formalitas</t>
        </is>
      </c>
      <c r="G524" s="62" t="inlineStr">
        <is>
          <t>Terdapat kebijakan yang mengatur prosedur pertanggungjawaban sumber daya dan pencatatannya</t>
        </is>
      </c>
      <c r="H524" s="62" t="inlineStr">
        <is>
          <t>Terdapat kebijakan yang mengatur prosedur pertanggungjawaban sumber daya dan pencatatannya</t>
        </is>
      </c>
      <c r="I524" s="28" t="n">
        <v>1</v>
      </c>
      <c r="J524" s="62" t="inlineStr">
        <is>
          <t>Kebijakan/SOP Pertanggungjawaban Sumber Daya dan Pencatatannya</t>
        </is>
      </c>
      <c r="K524" s="78" t="inlineStr"/>
      <c r="L524" s="29" t="n"/>
      <c r="M524" s="10" t="n"/>
      <c r="N524" s="29" t="n"/>
      <c r="O524" s="29" t="n"/>
      <c r="P524" s="29" t="n"/>
      <c r="Q524" s="10" t="n"/>
      <c r="R524" s="30">
        <f>IF(OR(L524="",L524="N/A"),"",IF(L524="Tidak Ada",0,IF(P524="","",IF(P524="Tidak Sesuai",0,IF(AND(N524="Ya",O524="Ya",P524="Sesuai"),1,0.5)))))</f>
        <v/>
      </c>
      <c r="S524" s="30">
        <f>IF(L524="N/A","N/A",IF(R524="","Belum dinilai",IF(R524=1,"Memenuhi",IF(R524=0,"Tidak Memenuhi","Memenuhi Sebagian"))))</f>
        <v/>
      </c>
      <c r="T524" s="31" t="inlineStr">
        <is>
          <t>3.10-1</t>
        </is>
      </c>
      <c r="U524" s="63">
        <f>IF(COUNT(R524:R524)=0,"",SUM(R524:R524)/COUNT(R524:R524))</f>
        <v/>
      </c>
    </row>
    <row r="525" ht="39" customHeight="1">
      <c r="A525" s="56" t="inlineStr">
        <is>
          <t>3.11</t>
        </is>
      </c>
      <c r="B525" s="57" t="inlineStr">
        <is>
          <t>Dokumentasi yang Baik atas SPI serta Transaksi dan Kejadian Penting</t>
        </is>
      </c>
      <c r="C525" s="58" t="n">
        <v>1</v>
      </c>
      <c r="D525" s="59" t="inlineStr">
        <is>
          <t>Terdapat pengelolaan, pemeliharaan, dan pendokumentasian secara berkala yang mencakup seluruh SPI serta transaksi dan kejadian penting yang dilaksanakan secara lengkap dan akurat untuk memfasilitasi penelusuran transaksi, kejadian, dan informasi terkait</t>
        </is>
      </c>
      <c r="E525" s="21" t="inlineStr">
        <is>
          <t>A</t>
        </is>
      </c>
      <c r="F525" s="60" t="inlineStr">
        <is>
          <t>A – Perbaikan Berkelanjutan</t>
        </is>
      </c>
      <c r="G525" s="60" t="inlineStr">
        <is>
          <t>Pendokumentasian atas SPI serta transaksi dan kejadian penting telah diperbaiki secara berkelanjutan dan secara optimal mampu mendukung pencapaian tujuan organisasi</t>
        </is>
      </c>
      <c r="H525" s="60" t="inlineStr">
        <is>
          <t>Pendokumentasian atas SPI serta transaksi dan kejadian penting telah diperbaiki secara berkelanjutan dan secara optimal mampu mendukung pencapaian tujuan organisasi</t>
        </is>
      </c>
      <c r="I525" s="22" t="n">
        <v>1</v>
      </c>
      <c r="J525" s="60" t="inlineStr">
        <is>
          <t>Laporan Evaluasi Pendokumentasian SPI</t>
        </is>
      </c>
      <c r="K525" s="76" t="inlineStr"/>
      <c r="L525" s="23" t="n"/>
      <c r="M525" s="24" t="n"/>
      <c r="N525" s="23" t="n"/>
      <c r="O525" s="23" t="n"/>
      <c r="P525" s="23" t="n"/>
      <c r="Q525" s="24" t="n"/>
      <c r="R525" s="25">
        <f>IF(OR(L525="",L525="N/A"),"",IF(L525="Tidak Ada",0,IF(P525="","",IF(P525="Tidak Sesuai",0,IF(AND(N525="Ya",O525="Ya",P525="Sesuai"),1,0.5)))))</f>
        <v/>
      </c>
      <c r="S525" s="25">
        <f>IF(L525="N/A","N/A",IF(R525="","Belum dinilai",IF(R525=1,"Memenuhi",IF(R525=0,"Tidak Memenuhi","Memenuhi Sebagian"))))</f>
        <v/>
      </c>
      <c r="T525" s="26" t="inlineStr">
        <is>
          <t>3.11-1</t>
        </is>
      </c>
      <c r="U525" s="61">
        <f>IF(COUNT(R525:R527)=0,"",SUM(R525:R527)/COUNT(R525:R527))</f>
        <v/>
      </c>
    </row>
    <row r="526" ht="39" customHeight="1">
      <c r="A526" s="77" t="n"/>
      <c r="B526" s="77" t="n"/>
      <c r="C526" s="77" t="n"/>
      <c r="D526" s="77" t="n"/>
      <c r="E526" s="27" t="inlineStr">
        <is>
          <t>A</t>
        </is>
      </c>
      <c r="F526" s="77" t="n"/>
      <c r="G526" s="77" t="n"/>
      <c r="H526" s="77" t="n"/>
      <c r="I526" s="28" t="n">
        <v>2</v>
      </c>
      <c r="J526" s="62" t="inlineStr">
        <is>
          <t>Matriks Tindak Lanjut</t>
        </is>
      </c>
      <c r="K526" s="78" t="inlineStr"/>
      <c r="L526" s="29" t="n"/>
      <c r="M526" s="10" t="n"/>
      <c r="N526" s="29" t="n"/>
      <c r="O526" s="29" t="n"/>
      <c r="P526" s="29" t="n"/>
      <c r="Q526" s="10" t="n"/>
      <c r="R526" s="30">
        <f>IF(OR(L526="",L526="N/A"),"",IF(L526="Tidak Ada",0,IF(P526="","",IF(P526="Tidak Sesuai",0,IF(AND(N526="Ya",O526="Ya",P526="Sesuai"),1,0.5)))))</f>
        <v/>
      </c>
      <c r="S526" s="30">
        <f>IF(L526="N/A","N/A",IF(R526="","Belum dinilai",IF(R526=1,"Memenuhi",IF(R526=0,"Tidak Memenuhi","Memenuhi Sebagian"))))</f>
        <v/>
      </c>
      <c r="T526" s="31" t="inlineStr">
        <is>
          <t>3.11-1</t>
        </is>
      </c>
      <c r="U526" s="77" t="n"/>
    </row>
    <row r="527" ht="39" customHeight="1">
      <c r="A527" s="77" t="n"/>
      <c r="B527" s="77" t="n"/>
      <c r="C527" s="77" t="n"/>
      <c r="D527" s="77" t="n"/>
      <c r="E527" s="27" t="inlineStr">
        <is>
          <t>A</t>
        </is>
      </c>
      <c r="F527" s="79" t="n"/>
      <c r="G527" s="79" t="n"/>
      <c r="H527" s="79" t="n"/>
      <c r="I527" s="28" t="n">
        <v>3</v>
      </c>
      <c r="J527" s="62" t="inlineStr">
        <is>
          <t>Bukti Perbaikan/Pemutakhiran Dokumentasi</t>
        </is>
      </c>
      <c r="K527" s="78" t="inlineStr"/>
      <c r="L527" s="29" t="n"/>
      <c r="M527" s="10" t="n"/>
      <c r="N527" s="29" t="n"/>
      <c r="O527" s="29" t="n"/>
      <c r="P527" s="29" t="n"/>
      <c r="Q527" s="10" t="n"/>
      <c r="R527" s="30">
        <f>IF(OR(L527="",L527="N/A"),"",IF(L527="Tidak Ada",0,IF(P527="","",IF(P527="Tidak Sesuai",0,IF(AND(N527="Ya",O527="Ya",P527="Sesuai"),1,0.5)))))</f>
        <v/>
      </c>
      <c r="S527" s="30">
        <f>IF(L527="N/A","N/A",IF(R527="","Belum dinilai",IF(R527=1,"Memenuhi",IF(R527=0,"Tidak Memenuhi","Memenuhi Sebagian"))))</f>
        <v/>
      </c>
      <c r="T527" s="31" t="inlineStr">
        <is>
          <t>3.11-1</t>
        </is>
      </c>
      <c r="U527" s="79" t="n"/>
    </row>
    <row r="528" ht="27" customHeight="1">
      <c r="A528" s="77" t="n"/>
      <c r="B528" s="77" t="n"/>
      <c r="C528" s="77" t="n"/>
      <c r="D528" s="77" t="n"/>
      <c r="E528" s="32" t="inlineStr">
        <is>
          <t>B</t>
        </is>
      </c>
      <c r="F528" s="62" t="inlineStr">
        <is>
          <t>B – Evaluasi &amp; Tindak Lanjut</t>
        </is>
      </c>
      <c r="G528" s="62" t="inlineStr">
        <is>
          <t>Pendokumentasian atas SPI serta transaksi dan kejadian penting telah dievaluasi sehingga dapat diketahui efektivitasnya</t>
        </is>
      </c>
      <c r="H528" s="62" t="inlineStr">
        <is>
          <t>Pendokumentasian atas SPI serta transaksi dan kejadian penting telah dievaluasi sehingga dapat diketahui efektivitasnya</t>
        </is>
      </c>
      <c r="I528" s="28" t="n">
        <v>1</v>
      </c>
      <c r="J528" s="62" t="inlineStr">
        <is>
          <t>Laporan Evaluasi Pendokumentasian SPI dan Transaksi</t>
        </is>
      </c>
      <c r="K528" s="78" t="inlineStr"/>
      <c r="L528" s="29" t="n"/>
      <c r="M528" s="10" t="n"/>
      <c r="N528" s="29" t="n"/>
      <c r="O528" s="29" t="n"/>
      <c r="P528" s="29" t="n"/>
      <c r="Q528" s="10" t="n"/>
      <c r="R528" s="30">
        <f>IF(OR(L528="",L528="N/A"),"",IF(L528="Tidak Ada",0,IF(P528="","",IF(P528="Tidak Sesuai",0,IF(AND(N528="Ya",O528="Ya",P528="Sesuai"),1,0.5)))))</f>
        <v/>
      </c>
      <c r="S528" s="30">
        <f>IF(L528="N/A","N/A",IF(R528="","Belum dinilai",IF(R528=1,"Memenuhi",IF(R528=0,"Tidak Memenuhi","Memenuhi Sebagian"))))</f>
        <v/>
      </c>
      <c r="T528" s="31" t="inlineStr">
        <is>
          <t>3.11-1</t>
        </is>
      </c>
      <c r="U528" s="63">
        <f>IF(COUNT(R528:R530)=0,"",SUM(R528:R530)/COUNT(R528:R530))</f>
        <v/>
      </c>
    </row>
    <row r="529" ht="27" customHeight="1">
      <c r="A529" s="77" t="n"/>
      <c r="B529" s="77" t="n"/>
      <c r="C529" s="77" t="n"/>
      <c r="D529" s="77" t="n"/>
      <c r="E529" s="32" t="inlineStr">
        <is>
          <t>B</t>
        </is>
      </c>
      <c r="F529" s="77" t="n"/>
      <c r="G529" s="77" t="n"/>
      <c r="H529" s="77" t="n"/>
      <c r="I529" s="28" t="n">
        <v>2</v>
      </c>
      <c r="J529" s="62" t="inlineStr">
        <is>
          <t>Hasil Monitoring</t>
        </is>
      </c>
      <c r="K529" s="78" t="inlineStr"/>
      <c r="L529" s="29" t="n"/>
      <c r="M529" s="10" t="n"/>
      <c r="N529" s="29" t="n"/>
      <c r="O529" s="29" t="n"/>
      <c r="P529" s="29" t="n"/>
      <c r="Q529" s="10" t="n"/>
      <c r="R529" s="30">
        <f>IF(OR(L529="",L529="N/A"),"",IF(L529="Tidak Ada",0,IF(P529="","",IF(P529="Tidak Sesuai",0,IF(AND(N529="Ya",O529="Ya",P529="Sesuai"),1,0.5)))))</f>
        <v/>
      </c>
      <c r="S529" s="30">
        <f>IF(L529="N/A","N/A",IF(R529="","Belum dinilai",IF(R529=1,"Memenuhi",IF(R529=0,"Tidak Memenuhi","Memenuhi Sebagian"))))</f>
        <v/>
      </c>
      <c r="T529" s="31" t="inlineStr">
        <is>
          <t>3.11-1</t>
        </is>
      </c>
      <c r="U529" s="77" t="n"/>
    </row>
    <row r="530" ht="27" customHeight="1">
      <c r="A530" s="77" t="n"/>
      <c r="B530" s="77" t="n"/>
      <c r="C530" s="77" t="n"/>
      <c r="D530" s="77" t="n"/>
      <c r="E530" s="32" t="inlineStr">
        <is>
          <t>B</t>
        </is>
      </c>
      <c r="F530" s="79" t="n"/>
      <c r="G530" s="79" t="n"/>
      <c r="H530" s="79" t="n"/>
      <c r="I530" s="28" t="n">
        <v>3</v>
      </c>
      <c r="J530" s="62" t="inlineStr">
        <is>
          <t>Matriks Tindak Lanjut</t>
        </is>
      </c>
      <c r="K530" s="78" t="inlineStr"/>
      <c r="L530" s="29" t="n"/>
      <c r="M530" s="10" t="n"/>
      <c r="N530" s="29" t="n"/>
      <c r="O530" s="29" t="n"/>
      <c r="P530" s="29" t="n"/>
      <c r="Q530" s="10" t="n"/>
      <c r="R530" s="30">
        <f>IF(OR(L530="",L530="N/A"),"",IF(L530="Tidak Ada",0,IF(P530="","",IF(P530="Tidak Sesuai",0,IF(AND(N530="Ya",O530="Ya",P530="Sesuai"),1,0.5)))))</f>
        <v/>
      </c>
      <c r="S530" s="30">
        <f>IF(L530="N/A","N/A",IF(R530="","Belum dinilai",IF(R530=1,"Memenuhi",IF(R530=0,"Tidak Memenuhi","Memenuhi Sebagian"))))</f>
        <v/>
      </c>
      <c r="T530" s="31" t="inlineStr">
        <is>
          <t>3.11-1</t>
        </is>
      </c>
      <c r="U530" s="79" t="n"/>
    </row>
    <row r="531" ht="27" customHeight="1">
      <c r="A531" s="77" t="n"/>
      <c r="B531" s="77" t="n"/>
      <c r="C531" s="77" t="n"/>
      <c r="D531" s="77" t="n"/>
      <c r="E531" s="33" t="inlineStr">
        <is>
          <t>C</t>
        </is>
      </c>
      <c r="F531" s="62" t="inlineStr">
        <is>
          <t>C – Implementasi</t>
        </is>
      </c>
      <c r="G531" s="62" t="inlineStr">
        <is>
          <t>Pendokumentasian atas SPI serta transaksi dan kejadian penting telah dilaksanakan sesuai kebijakan/prosedur yang ditetapkan</t>
        </is>
      </c>
      <c r="H531" s="62" t="inlineStr">
        <is>
          <t>Pendokumentasian atas SPI serta transaksi dan kejadian penting telah dilaksanakan sesuai kebijakan/prosedur yang ditetapkan</t>
        </is>
      </c>
      <c r="I531" s="28" t="n">
        <v>1</v>
      </c>
      <c r="J531" s="62" t="inlineStr">
        <is>
          <t>SOP Pengelolaan dan Pendokumentasian SPI</t>
        </is>
      </c>
      <c r="K531" s="78" t="inlineStr"/>
      <c r="L531" s="29" t="n"/>
      <c r="M531" s="10" t="n"/>
      <c r="N531" s="29" t="n"/>
      <c r="O531" s="29" t="n"/>
      <c r="P531" s="29" t="n"/>
      <c r="Q531" s="10" t="n"/>
      <c r="R531" s="30">
        <f>IF(OR(L531="",L531="N/A"),"",IF(L531="Tidak Ada",0,IF(P531="","",IF(P531="Tidak Sesuai",0,IF(AND(N531="Ya",O531="Ya",P531="Sesuai"),1,0.5)))))</f>
        <v/>
      </c>
      <c r="S531" s="30">
        <f>IF(L531="N/A","N/A",IF(R531="","Belum dinilai",IF(R531=1,"Memenuhi",IF(R531=0,"Tidak Memenuhi","Memenuhi Sebagian"))))</f>
        <v/>
      </c>
      <c r="T531" s="31" t="inlineStr">
        <is>
          <t>3.11-1</t>
        </is>
      </c>
      <c r="U531" s="63">
        <f>IF(COUNT(R531:R533)=0,"",SUM(R531:R533)/COUNT(R531:R533))</f>
        <v/>
      </c>
    </row>
    <row r="532" ht="27" customHeight="1">
      <c r="A532" s="77" t="n"/>
      <c r="B532" s="77" t="n"/>
      <c r="C532" s="77" t="n"/>
      <c r="D532" s="77" t="n"/>
      <c r="E532" s="33" t="inlineStr">
        <is>
          <t>C</t>
        </is>
      </c>
      <c r="F532" s="77" t="n"/>
      <c r="G532" s="77" t="n"/>
      <c r="H532" s="77" t="n"/>
      <c r="I532" s="28" t="n">
        <v>2</v>
      </c>
      <c r="J532" s="62" t="inlineStr">
        <is>
          <t>Arsip/Dokumen Transaksi dan Kejadian Penting</t>
        </is>
      </c>
      <c r="K532" s="78" t="inlineStr"/>
      <c r="L532" s="29" t="inlineStr">
        <is>
          <t>Ada</t>
        </is>
      </c>
      <c r="M532" s="66" t="inlineStr">
        <is>
          <t>Srikandi, SIPD</t>
        </is>
      </c>
      <c r="N532" s="29" t="inlineStr">
        <is>
          <t>Ya</t>
        </is>
      </c>
      <c r="O532" s="29" t="inlineStr">
        <is>
          <t>Ya</t>
        </is>
      </c>
      <c r="P532" s="29" t="inlineStr">
        <is>
          <t>Sesuai</t>
        </is>
      </c>
      <c r="Q532" s="10" t="n"/>
      <c r="R532" s="30">
        <f>IF(OR(L532="",L532="N/A"),"",IF(L532="Tidak Ada",0,IF(P532="","",IF(P532="Tidak Sesuai",0,IF(AND(N532="Ya",O532="Ya",P532="Sesuai"),1,0.5)))))</f>
        <v/>
      </c>
      <c r="S532" s="30">
        <f>IF(L532="N/A","N/A",IF(R532="","Belum dinilai",IF(R532=1,"Memenuhi",IF(R532=0,"Tidak Memenuhi","Memenuhi Sebagian"))))</f>
        <v/>
      </c>
      <c r="T532" s="31" t="inlineStr">
        <is>
          <t>3.11-1</t>
        </is>
      </c>
      <c r="U532" s="77" t="n"/>
    </row>
    <row r="533" ht="27" customHeight="1">
      <c r="A533" s="77" t="n"/>
      <c r="B533" s="77" t="n"/>
      <c r="C533" s="77" t="n"/>
      <c r="D533" s="77" t="n"/>
      <c r="E533" s="33" t="inlineStr">
        <is>
          <t>C</t>
        </is>
      </c>
      <c r="F533" s="79" t="n"/>
      <c r="G533" s="79" t="n"/>
      <c r="H533" s="79" t="n"/>
      <c r="I533" s="28" t="n">
        <v>3</v>
      </c>
      <c r="J533" s="62" t="inlineStr">
        <is>
          <t>Daftar/Register Dokumen</t>
        </is>
      </c>
      <c r="K533" s="78" t="inlineStr"/>
      <c r="L533" s="29" t="n"/>
      <c r="M533" s="10" t="n"/>
      <c r="N533" s="29" t="n"/>
      <c r="O533" s="29" t="n"/>
      <c r="P533" s="29" t="n"/>
      <c r="Q533" s="10" t="n"/>
      <c r="R533" s="30">
        <f>IF(OR(L533="",L533="N/A"),"",IF(L533="Tidak Ada",0,IF(P533="","",IF(P533="Tidak Sesuai",0,IF(AND(N533="Ya",O533="Ya",P533="Sesuai"),1,0.5)))))</f>
        <v/>
      </c>
      <c r="S533" s="30">
        <f>IF(L533="N/A","N/A",IF(R533="","Belum dinilai",IF(R533=1,"Memenuhi",IF(R533=0,"Tidak Memenuhi","Memenuhi Sebagian"))))</f>
        <v/>
      </c>
      <c r="T533" s="31" t="inlineStr">
        <is>
          <t>3.11-1</t>
        </is>
      </c>
      <c r="U533" s="79" t="n"/>
    </row>
    <row r="534" ht="51" customHeight="1">
      <c r="A534" s="77" t="n"/>
      <c r="B534" s="77" t="n"/>
      <c r="C534" s="77" t="n"/>
      <c r="D534" s="77" t="n"/>
      <c r="E534" s="34" t="inlineStr">
        <is>
          <t>D</t>
        </is>
      </c>
      <c r="F534" s="62" t="inlineStr">
        <is>
          <t>D – Komunikasi &amp; Pemahaman</t>
        </is>
      </c>
      <c r="G534" s="62" t="inlineStr">
        <is>
          <t>Kebijakan terkait prosedur pendokumentasian atas SPI serta transaksi dan kejadian penting telah dikomunikasikan dan dipahami oleh pihak yang berkepentingan</t>
        </is>
      </c>
      <c r="H534" s="62" t="inlineStr">
        <is>
          <t>Kebijakan terkait prosedur pendokumentasian atas SPI serta transaksi dan kejadian penting telah dikomunikasikan dan dipahami oleh pihak yang berkepentingan</t>
        </is>
      </c>
      <c r="I534" s="28" t="n">
        <v>1</v>
      </c>
      <c r="J534" s="62" t="inlineStr">
        <is>
          <t>Bukti Sosialisasi SOP Pendokumentasian</t>
        </is>
      </c>
      <c r="K534" s="78" t="inlineStr"/>
      <c r="L534" s="29" t="n"/>
      <c r="M534" s="10" t="n"/>
      <c r="N534" s="29" t="n"/>
      <c r="O534" s="29" t="n"/>
      <c r="P534" s="29" t="n"/>
      <c r="Q534" s="10" t="n"/>
      <c r="R534" s="30">
        <f>IF(OR(L534="",L534="N/A"),"",IF(L534="Tidak Ada",0,IF(P534="","",IF(P534="Tidak Sesuai",0,IF(AND(N534="Ya",O534="Ya",P534="Sesuai"),1,0.5)))))</f>
        <v/>
      </c>
      <c r="S534" s="30">
        <f>IF(L534="N/A","N/A",IF(R534="","Belum dinilai",IF(R534=1,"Memenuhi",IF(R534=0,"Tidak Memenuhi","Memenuhi Sebagian"))))</f>
        <v/>
      </c>
      <c r="T534" s="31" t="inlineStr">
        <is>
          <t>3.11-1</t>
        </is>
      </c>
      <c r="U534" s="63">
        <f>IF(COUNT(R534:R535)=0,"",SUM(R534:R535)/COUNT(R534:R535))</f>
        <v/>
      </c>
    </row>
    <row r="535" ht="51" customHeight="1">
      <c r="A535" s="77" t="n"/>
      <c r="B535" s="77" t="n"/>
      <c r="C535" s="77" t="n"/>
      <c r="D535" s="77" t="n"/>
      <c r="E535" s="34" t="inlineStr">
        <is>
          <t>D</t>
        </is>
      </c>
      <c r="F535" s="79" t="n"/>
      <c r="G535" s="79" t="n"/>
      <c r="H535" s="79" t="n"/>
      <c r="I535" s="28" t="n">
        <v>2</v>
      </c>
      <c r="J535" s="62" t="inlineStr">
        <is>
          <t>Daftar Pengelola Dokumen/Arsip</t>
        </is>
      </c>
      <c r="K535" s="78" t="inlineStr"/>
      <c r="L535" s="29" t="n"/>
      <c r="M535" s="10" t="n"/>
      <c r="N535" s="29" t="n"/>
      <c r="O535" s="29" t="n"/>
      <c r="P535" s="29" t="n"/>
      <c r="Q535" s="10" t="n"/>
      <c r="R535" s="30">
        <f>IF(OR(L535="",L535="N/A"),"",IF(L535="Tidak Ada",0,IF(P535="","",IF(P535="Tidak Sesuai",0,IF(AND(N535="Ya",O535="Ya",P535="Sesuai"),1,0.5)))))</f>
        <v/>
      </c>
      <c r="S535" s="30">
        <f>IF(L535="N/A","N/A",IF(R535="","Belum dinilai",IF(R535=1,"Memenuhi",IF(R535=0,"Tidak Memenuhi","Memenuhi Sebagian"))))</f>
        <v/>
      </c>
      <c r="T535" s="31" t="inlineStr">
        <is>
          <t>3.11-1</t>
        </is>
      </c>
      <c r="U535" s="79" t="n"/>
    </row>
    <row r="536" ht="63" customHeight="1">
      <c r="A536" s="79" t="n"/>
      <c r="B536" s="79" t="n"/>
      <c r="C536" s="79" t="n"/>
      <c r="D536" s="79" t="n"/>
      <c r="E536" s="35" t="inlineStr">
        <is>
          <t>E</t>
        </is>
      </c>
      <c r="F536" s="62" t="inlineStr">
        <is>
          <t>E – Kebijakan/Formalitas</t>
        </is>
      </c>
      <c r="G536" s="62" t="inlineStr">
        <is>
          <t>Terdapat kebijakan yang mengatur prosedur pendokumentasian atas SPI serta transaksi dan kejadian penting</t>
        </is>
      </c>
      <c r="H536" s="62" t="inlineStr">
        <is>
          <t>Terdapat kebijakan yang mengatur prosedur pendokumentasian atas SPI serta transaksi dan kejadian penting</t>
        </is>
      </c>
      <c r="I536" s="28" t="n">
        <v>1</v>
      </c>
      <c r="J536" s="62" t="inlineStr">
        <is>
          <t>Kebijakan/SOP Pengelolaan dan Pendokumentasian SPI serta Transaksi</t>
        </is>
      </c>
      <c r="K536" s="78" t="inlineStr"/>
      <c r="L536" s="29" t="n"/>
      <c r="M536" s="10" t="n"/>
      <c r="N536" s="29" t="n"/>
      <c r="O536" s="29" t="n"/>
      <c r="P536" s="29" t="n"/>
      <c r="Q536" s="10" t="n"/>
      <c r="R536" s="30">
        <f>IF(OR(L536="",L536="N/A"),"",IF(L536="Tidak Ada",0,IF(P536="","",IF(P536="Tidak Sesuai",0,IF(AND(N536="Ya",O536="Ya",P536="Sesuai"),1,0.5)))))</f>
        <v/>
      </c>
      <c r="S536" s="30">
        <f>IF(L536="N/A","N/A",IF(R536="","Belum dinilai",IF(R536=1,"Memenuhi",IF(R536=0,"Tidak Memenuhi","Memenuhi Sebagian"))))</f>
        <v/>
      </c>
      <c r="T536" s="31" t="inlineStr">
        <is>
          <t>3.11-1</t>
        </is>
      </c>
      <c r="U536" s="63">
        <f>IF(COUNT(R536:R536)=0,"",SUM(R536:R536)/COUNT(R536:R536))</f>
        <v/>
      </c>
    </row>
    <row r="537" ht="27" customHeight="1">
      <c r="A537" s="56" t="inlineStr">
        <is>
          <t>4.1</t>
        </is>
      </c>
      <c r="B537" s="57" t="inlineStr">
        <is>
          <t>Informasi yang Relevan</t>
        </is>
      </c>
      <c r="C537" s="58" t="n">
        <v>1</v>
      </c>
      <c r="D537" s="59" t="inlineStr">
        <is>
          <t>Tersedianya informasi yang relevan untuk kebutuhan internal dan eksternal</t>
        </is>
      </c>
      <c r="E537" s="21" t="inlineStr">
        <is>
          <t>A</t>
        </is>
      </c>
      <c r="F537" s="60" t="inlineStr">
        <is>
          <t>A – Perbaikan Berkelanjutan</t>
        </is>
      </c>
      <c r="G537" s="60" t="inlineStr">
        <is>
          <t>Informasi yang disajikan relevan dan memenuhi ekspektasi stakeholder</t>
        </is>
      </c>
      <c r="H537" s="60" t="inlineStr">
        <is>
          <t>Informasi yang disajikan relevan dan memenuhi ekspektasi stakeholder</t>
        </is>
      </c>
      <c r="I537" s="22" t="n">
        <v>1</v>
      </c>
      <c r="J537" s="60" t="inlineStr">
        <is>
          <t>Laporan Evaluasi Kualitas Informasi</t>
        </is>
      </c>
      <c r="K537" s="76" t="inlineStr"/>
      <c r="L537" s="23" t="n"/>
      <c r="M537" s="24" t="n"/>
      <c r="N537" s="23" t="n"/>
      <c r="O537" s="23" t="n"/>
      <c r="P537" s="23" t="n"/>
      <c r="Q537" s="24" t="n"/>
      <c r="R537" s="25">
        <f>IF(OR(L537="",L537="N/A"),"",IF(L537="Tidak Ada",0,IF(P537="","",IF(P537="Tidak Sesuai",0,IF(AND(N537="Ya",O537="Ya",P537="Sesuai"),1,0.5)))))</f>
        <v/>
      </c>
      <c r="S537" s="25">
        <f>IF(L537="N/A","N/A",IF(R537="","Belum dinilai",IF(R537=1,"Memenuhi",IF(R537=0,"Tidak Memenuhi","Memenuhi Sebagian"))))</f>
        <v/>
      </c>
      <c r="T537" s="26" t="inlineStr">
        <is>
          <t>4.1-1</t>
        </is>
      </c>
      <c r="U537" s="61">
        <f>IF(COUNT(R537:R539)=0,"",SUM(R537:R539)/COUNT(R537:R539))</f>
        <v/>
      </c>
    </row>
    <row r="538" ht="27" customHeight="1">
      <c r="A538" s="77" t="n"/>
      <c r="B538" s="77" t="n"/>
      <c r="C538" s="77" t="n"/>
      <c r="D538" s="77" t="n"/>
      <c r="E538" s="27" t="inlineStr">
        <is>
          <t>A</t>
        </is>
      </c>
      <c r="F538" s="77" t="n"/>
      <c r="G538" s="77" t="n"/>
      <c r="H538" s="77" t="n"/>
      <c r="I538" s="28" t="n">
        <v>2</v>
      </c>
      <c r="J538" s="62" t="inlineStr">
        <is>
          <t>Hasil Survei/Umpan Balik Stakeholder</t>
        </is>
      </c>
      <c r="K538" s="78" t="inlineStr"/>
      <c r="L538" s="29" t="n"/>
      <c r="M538" s="10" t="n"/>
      <c r="N538" s="29" t="n"/>
      <c r="O538" s="29" t="n"/>
      <c r="P538" s="29" t="n"/>
      <c r="Q538" s="10" t="n"/>
      <c r="R538" s="30">
        <f>IF(OR(L538="",L538="N/A"),"",IF(L538="Tidak Ada",0,IF(P538="","",IF(P538="Tidak Sesuai",0,IF(AND(N538="Ya",O538="Ya",P538="Sesuai"),1,0.5)))))</f>
        <v/>
      </c>
      <c r="S538" s="30">
        <f>IF(L538="N/A","N/A",IF(R538="","Belum dinilai",IF(R538=1,"Memenuhi",IF(R538=0,"Tidak Memenuhi","Memenuhi Sebagian"))))</f>
        <v/>
      </c>
      <c r="T538" s="31" t="inlineStr">
        <is>
          <t>4.1-1</t>
        </is>
      </c>
      <c r="U538" s="77" t="n"/>
    </row>
    <row r="539" ht="27" customHeight="1">
      <c r="A539" s="77" t="n"/>
      <c r="B539" s="77" t="n"/>
      <c r="C539" s="77" t="n"/>
      <c r="D539" s="77" t="n"/>
      <c r="E539" s="27" t="inlineStr">
        <is>
          <t>A</t>
        </is>
      </c>
      <c r="F539" s="79" t="n"/>
      <c r="G539" s="79" t="n"/>
      <c r="H539" s="79" t="n"/>
      <c r="I539" s="28" t="n">
        <v>3</v>
      </c>
      <c r="J539" s="62" t="inlineStr">
        <is>
          <t>Bukti Perbaikan Penyajian Informasi</t>
        </is>
      </c>
      <c r="K539" s="78" t="inlineStr"/>
      <c r="L539" s="29" t="n"/>
      <c r="M539" s="10" t="n"/>
      <c r="N539" s="29" t="n"/>
      <c r="O539" s="29" t="n"/>
      <c r="P539" s="29" t="n"/>
      <c r="Q539" s="10" t="n"/>
      <c r="R539" s="30">
        <f>IF(OR(L539="",L539="N/A"),"",IF(L539="Tidak Ada",0,IF(P539="","",IF(P539="Tidak Sesuai",0,IF(AND(N539="Ya",O539="Ya",P539="Sesuai"),1,0.5)))))</f>
        <v/>
      </c>
      <c r="S539" s="30">
        <f>IF(L539="N/A","N/A",IF(R539="","Belum dinilai",IF(R539=1,"Memenuhi",IF(R539=0,"Tidak Memenuhi","Memenuhi Sebagian"))))</f>
        <v/>
      </c>
      <c r="T539" s="31" t="inlineStr">
        <is>
          <t>4.1-1</t>
        </is>
      </c>
      <c r="U539" s="79" t="n"/>
    </row>
    <row r="540" ht="27" customHeight="1">
      <c r="A540" s="77" t="n"/>
      <c r="B540" s="77" t="n"/>
      <c r="C540" s="77" t="n"/>
      <c r="D540" s="77" t="n"/>
      <c r="E540" s="32" t="inlineStr">
        <is>
          <t>B</t>
        </is>
      </c>
      <c r="F540" s="62" t="inlineStr">
        <is>
          <t>B – Evaluasi &amp; Tindak Lanjut</t>
        </is>
      </c>
      <c r="G540" s="62" t="inlineStr">
        <is>
          <t>Klasifikasi informasi telah dievaluasi dan ditindaklanjuti sehingga dapat disajikan dengan tepat waktu, andal, dan relevan</t>
        </is>
      </c>
      <c r="H540" s="62" t="inlineStr">
        <is>
          <t>Klasifikasi informasi telah dievaluasi dan ditindaklanjuti sehingga dapat disajikan dengan tepat waktu, andal, dan relevan</t>
        </is>
      </c>
      <c r="I540" s="28" t="n">
        <v>1</v>
      </c>
      <c r="J540" s="62" t="inlineStr">
        <is>
          <t>Laporan Evaluasi Klasifikasi dan Penyajian Informasi</t>
        </is>
      </c>
      <c r="K540" s="78" t="inlineStr"/>
      <c r="L540" s="29" t="n"/>
      <c r="M540" s="10" t="n"/>
      <c r="N540" s="29" t="n"/>
      <c r="O540" s="29" t="n"/>
      <c r="P540" s="29" t="n"/>
      <c r="Q540" s="10" t="n"/>
      <c r="R540" s="30">
        <f>IF(OR(L540="",L540="N/A"),"",IF(L540="Tidak Ada",0,IF(P540="","",IF(P540="Tidak Sesuai",0,IF(AND(N540="Ya",O540="Ya",P540="Sesuai"),1,0.5)))))</f>
        <v/>
      </c>
      <c r="S540" s="30">
        <f>IF(L540="N/A","N/A",IF(R540="","Belum dinilai",IF(R540=1,"Memenuhi",IF(R540=0,"Tidak Memenuhi","Memenuhi Sebagian"))))</f>
        <v/>
      </c>
      <c r="T540" s="31" t="inlineStr">
        <is>
          <t>4.1-1</t>
        </is>
      </c>
      <c r="U540" s="63">
        <f>IF(COUNT(R540:R542)=0,"",SUM(R540:R542)/COUNT(R540:R542))</f>
        <v/>
      </c>
    </row>
    <row r="541" ht="27" customHeight="1">
      <c r="A541" s="77" t="n"/>
      <c r="B541" s="77" t="n"/>
      <c r="C541" s="77" t="n"/>
      <c r="D541" s="77" t="n"/>
      <c r="E541" s="32" t="inlineStr">
        <is>
          <t>B</t>
        </is>
      </c>
      <c r="F541" s="77" t="n"/>
      <c r="G541" s="77" t="n"/>
      <c r="H541" s="77" t="n"/>
      <c r="I541" s="28" t="n">
        <v>2</v>
      </c>
      <c r="J541" s="62" t="inlineStr">
        <is>
          <t>Matriks Tindak Lanjut</t>
        </is>
      </c>
      <c r="K541" s="78" t="inlineStr"/>
      <c r="L541" s="29" t="n"/>
      <c r="M541" s="10" t="n"/>
      <c r="N541" s="29" t="n"/>
      <c r="O541" s="29" t="n"/>
      <c r="P541" s="29" t="n"/>
      <c r="Q541" s="10" t="n"/>
      <c r="R541" s="30">
        <f>IF(OR(L541="",L541="N/A"),"",IF(L541="Tidak Ada",0,IF(P541="","",IF(P541="Tidak Sesuai",0,IF(AND(N541="Ya",O541="Ya",P541="Sesuai"),1,0.5)))))</f>
        <v/>
      </c>
      <c r="S541" s="30">
        <f>IF(L541="N/A","N/A",IF(R541="","Belum dinilai",IF(R541=1,"Memenuhi",IF(R541=0,"Tidak Memenuhi","Memenuhi Sebagian"))))</f>
        <v/>
      </c>
      <c r="T541" s="31" t="inlineStr">
        <is>
          <t>4.1-1</t>
        </is>
      </c>
      <c r="U541" s="77" t="n"/>
    </row>
    <row r="542" ht="27" customHeight="1">
      <c r="A542" s="77" t="n"/>
      <c r="B542" s="77" t="n"/>
      <c r="C542" s="77" t="n"/>
      <c r="D542" s="77" t="n"/>
      <c r="E542" s="32" t="inlineStr">
        <is>
          <t>B</t>
        </is>
      </c>
      <c r="F542" s="79" t="n"/>
      <c r="G542" s="79" t="n"/>
      <c r="H542" s="79" t="n"/>
      <c r="I542" s="28" t="n">
        <v>3</v>
      </c>
      <c r="J542" s="62" t="inlineStr">
        <is>
          <t>Daftar Klasifikasi Informasi</t>
        </is>
      </c>
      <c r="K542" s="78" t="inlineStr"/>
      <c r="L542" s="29" t="n"/>
      <c r="M542" s="10" t="n"/>
      <c r="N542" s="29" t="n"/>
      <c r="O542" s="29" t="n"/>
      <c r="P542" s="29" t="n"/>
      <c r="Q542" s="10" t="n"/>
      <c r="R542" s="30">
        <f>IF(OR(L542="",L542="N/A"),"",IF(L542="Tidak Ada",0,IF(P542="","",IF(P542="Tidak Sesuai",0,IF(AND(N542="Ya",O542="Ya",P542="Sesuai"),1,0.5)))))</f>
        <v/>
      </c>
      <c r="S542" s="30">
        <f>IF(L542="N/A","N/A",IF(R542="","Belum dinilai",IF(R542=1,"Memenuhi",IF(R542=0,"Tidak Memenuhi","Memenuhi Sebagian"))))</f>
        <v/>
      </c>
      <c r="T542" s="31" t="inlineStr">
        <is>
          <t>4.1-1</t>
        </is>
      </c>
      <c r="U542" s="79" t="n"/>
    </row>
    <row r="543" ht="27" customHeight="1">
      <c r="A543" s="77" t="n"/>
      <c r="B543" s="77" t="n"/>
      <c r="C543" s="77" t="n"/>
      <c r="D543" s="77" t="n"/>
      <c r="E543" s="33" t="inlineStr">
        <is>
          <t>C</t>
        </is>
      </c>
      <c r="F543" s="62" t="inlineStr">
        <is>
          <t>C – Implementasi</t>
        </is>
      </c>
      <c r="G543" s="62" t="inlineStr">
        <is>
          <t>Informasi yang relevan untuk mendukung pengendalian intern tersedia secara lengkap dan mudah untuk diperoleh</t>
        </is>
      </c>
      <c r="H543" s="62" t="inlineStr">
        <is>
          <t>Informasi yang relevan untuk mendukung pengendalian intern tersedia secara lengkap dan mudah untuk diperoleh</t>
        </is>
      </c>
      <c r="I543" s="28" t="n">
        <v>1</v>
      </c>
      <c r="J543" s="62" t="inlineStr">
        <is>
          <t>Daftar Informasi Publik/Informasi Internal</t>
        </is>
      </c>
      <c r="K543" s="78" t="inlineStr"/>
      <c r="L543" s="29" t="inlineStr">
        <is>
          <t>Ada</t>
        </is>
      </c>
      <c r="M543" s="66" t="inlineStr">
        <is>
          <t xml:space="preserve">SK Standar pelayanan </t>
        </is>
      </c>
      <c r="N543" s="29" t="inlineStr">
        <is>
          <t>Ya</t>
        </is>
      </c>
      <c r="O543" s="29" t="inlineStr">
        <is>
          <t>Ya</t>
        </is>
      </c>
      <c r="P543" s="29" t="inlineStr">
        <is>
          <t>Sesuai</t>
        </is>
      </c>
      <c r="Q543" s="10" t="n"/>
      <c r="R543" s="30">
        <f>IF(OR(L543="",L543="N/A"),"",IF(L543="Tidak Ada",0,IF(P543="","",IF(P543="Tidak Sesuai",0,IF(AND(N543="Ya",O543="Ya",P543="Sesuai"),1,0.5)))))</f>
        <v/>
      </c>
      <c r="S543" s="30">
        <f>IF(L543="N/A","N/A",IF(R543="","Belum dinilai",IF(R543=1,"Memenuhi",IF(R543=0,"Tidak Memenuhi","Memenuhi Sebagian"))))</f>
        <v/>
      </c>
      <c r="T543" s="31" t="inlineStr">
        <is>
          <t>4.1-1</t>
        </is>
      </c>
      <c r="U543" s="63">
        <f>IF(COUNT(R543:R545)=0,"",SUM(R543:R545)/COUNT(R543:R545))</f>
        <v/>
      </c>
    </row>
    <row r="544" ht="27" customHeight="1">
      <c r="A544" s="77" t="n"/>
      <c r="B544" s="77" t="n"/>
      <c r="C544" s="77" t="n"/>
      <c r="D544" s="77" t="n"/>
      <c r="E544" s="33" t="inlineStr">
        <is>
          <t>C</t>
        </is>
      </c>
      <c r="F544" s="77" t="n"/>
      <c r="G544" s="77" t="n"/>
      <c r="H544" s="77" t="n"/>
      <c r="I544" s="28" t="n">
        <v>2</v>
      </c>
      <c r="J544" s="62" t="inlineStr">
        <is>
          <t>SOP Pengelolaan Informasi</t>
        </is>
      </c>
      <c r="K544" s="78" t="inlineStr"/>
      <c r="L544" s="29" t="n"/>
      <c r="M544" s="10" t="n"/>
      <c r="N544" s="29" t="n"/>
      <c r="O544" s="29" t="n"/>
      <c r="P544" s="29" t="n"/>
      <c r="Q544" s="10" t="n"/>
      <c r="R544" s="30">
        <f>IF(OR(L544="",L544="N/A"),"",IF(L544="Tidak Ada",0,IF(P544="","",IF(P544="Tidak Sesuai",0,IF(AND(N544="Ya",O544="Ya",P544="Sesuai"),1,0.5)))))</f>
        <v/>
      </c>
      <c r="S544" s="30">
        <f>IF(L544="N/A","N/A",IF(R544="","Belum dinilai",IF(R544=1,"Memenuhi",IF(R544=0,"Tidak Memenuhi","Memenuhi Sebagian"))))</f>
        <v/>
      </c>
      <c r="T544" s="31" t="inlineStr">
        <is>
          <t>4.1-1</t>
        </is>
      </c>
      <c r="U544" s="77" t="n"/>
    </row>
    <row r="545" ht="27" customHeight="1">
      <c r="A545" s="77" t="n"/>
      <c r="B545" s="77" t="n"/>
      <c r="C545" s="77" t="n"/>
      <c r="D545" s="77" t="n"/>
      <c r="E545" s="33" t="inlineStr">
        <is>
          <t>C</t>
        </is>
      </c>
      <c r="F545" s="79" t="n"/>
      <c r="G545" s="79" t="n"/>
      <c r="H545" s="79" t="n"/>
      <c r="I545" s="28" t="n">
        <v>3</v>
      </c>
      <c r="J545" s="62" t="inlineStr">
        <is>
          <t>Bukti Penyediaan/Akses Informasi</t>
        </is>
      </c>
      <c r="K545" s="78" t="inlineStr"/>
      <c r="L545" s="29" t="n"/>
      <c r="M545" s="10" t="n"/>
      <c r="N545" s="29" t="n"/>
      <c r="O545" s="29" t="n"/>
      <c r="P545" s="29" t="n"/>
      <c r="Q545" s="10" t="n"/>
      <c r="R545" s="30">
        <f>IF(OR(L545="",L545="N/A"),"",IF(L545="Tidak Ada",0,IF(P545="","",IF(P545="Tidak Sesuai",0,IF(AND(N545="Ya",O545="Ya",P545="Sesuai"),1,0.5)))))</f>
        <v/>
      </c>
      <c r="S545" s="30">
        <f>IF(L545="N/A","N/A",IF(R545="","Belum dinilai",IF(R545=1,"Memenuhi",IF(R545=0,"Tidak Memenuhi","Memenuhi Sebagian"))))</f>
        <v/>
      </c>
      <c r="T545" s="31" t="inlineStr">
        <is>
          <t>4.1-1</t>
        </is>
      </c>
      <c r="U545" s="79" t="n"/>
    </row>
    <row r="546" ht="27" customHeight="1">
      <c r="A546" s="77" t="n"/>
      <c r="B546" s="77" t="n"/>
      <c r="C546" s="77" t="n"/>
      <c r="D546" s="77" t="n"/>
      <c r="E546" s="34" t="inlineStr">
        <is>
          <t>D</t>
        </is>
      </c>
      <c r="F546" s="62" t="inlineStr">
        <is>
          <t>D – Komunikasi &amp; Pemahaman</t>
        </is>
      </c>
      <c r="G546" s="62" t="inlineStr">
        <is>
          <t>Informasi yang relevan untuk mendukung pengendalian intern tersedia secara lengkap namun tidak mudah diperoleh/akses terbatas</t>
        </is>
      </c>
      <c r="H546" s="62" t="inlineStr">
        <is>
          <t>Informasi yang relevan untuk mendukung pengendalian intern tersedia secara lengkap namun tidak mudah diperoleh/akses terbatas</t>
        </is>
      </c>
      <c r="I546" s="28" t="n">
        <v>1</v>
      </c>
      <c r="J546" s="62" t="inlineStr">
        <is>
          <t>Daftar Informasi yang Tersedia</t>
        </is>
      </c>
      <c r="K546" s="78" t="inlineStr"/>
      <c r="L546" s="29" t="n"/>
      <c r="M546" s="10" t="n"/>
      <c r="N546" s="29" t="n"/>
      <c r="O546" s="29" t="n"/>
      <c r="P546" s="29" t="n"/>
      <c r="Q546" s="10" t="n"/>
      <c r="R546" s="30">
        <f>IF(OR(L546="",L546="N/A"),"",IF(L546="Tidak Ada",0,IF(P546="","",IF(P546="Tidak Sesuai",0,IF(AND(N546="Ya",O546="Ya",P546="Sesuai"),1,0.5)))))</f>
        <v/>
      </c>
      <c r="S546" s="30">
        <f>IF(L546="N/A","N/A",IF(R546="","Belum dinilai",IF(R546=1,"Memenuhi",IF(R546=0,"Tidak Memenuhi","Memenuhi Sebagian"))))</f>
        <v/>
      </c>
      <c r="T546" s="31" t="inlineStr">
        <is>
          <t>4.1-1</t>
        </is>
      </c>
      <c r="U546" s="63">
        <f>IF(COUNT(R546:R548)=0,"",SUM(R546:R548)/COUNT(R546:R548))</f>
        <v/>
      </c>
    </row>
    <row r="547" ht="27" customHeight="1">
      <c r="A547" s="77" t="n"/>
      <c r="B547" s="77" t="n"/>
      <c r="C547" s="77" t="n"/>
      <c r="D547" s="77" t="n"/>
      <c r="E547" s="34" t="inlineStr">
        <is>
          <t>D</t>
        </is>
      </c>
      <c r="F547" s="77" t="n"/>
      <c r="G547" s="77" t="n"/>
      <c r="H547" s="77" t="n"/>
      <c r="I547" s="28" t="n">
        <v>2</v>
      </c>
      <c r="J547" s="62" t="inlineStr">
        <is>
          <t>SOP Pengelolaan Informasi</t>
        </is>
      </c>
      <c r="K547" s="78" t="inlineStr"/>
      <c r="L547" s="29" t="n"/>
      <c r="M547" s="10" t="n"/>
      <c r="N547" s="29" t="n"/>
      <c r="O547" s="29" t="n"/>
      <c r="P547" s="29" t="n"/>
      <c r="Q547" s="10" t="n"/>
      <c r="R547" s="30">
        <f>IF(OR(L547="",L547="N/A"),"",IF(L547="Tidak Ada",0,IF(P547="","",IF(P547="Tidak Sesuai",0,IF(AND(N547="Ya",O547="Ya",P547="Sesuai"),1,0.5)))))</f>
        <v/>
      </c>
      <c r="S547" s="30">
        <f>IF(L547="N/A","N/A",IF(R547="","Belum dinilai",IF(R547=1,"Memenuhi",IF(R547=0,"Tidak Memenuhi","Memenuhi Sebagian"))))</f>
        <v/>
      </c>
      <c r="T547" s="31" t="inlineStr">
        <is>
          <t>4.1-1</t>
        </is>
      </c>
      <c r="U547" s="77" t="n"/>
    </row>
    <row r="548" ht="27" customHeight="1">
      <c r="A548" s="77" t="n"/>
      <c r="B548" s="77" t="n"/>
      <c r="C548" s="77" t="n"/>
      <c r="D548" s="77" t="n"/>
      <c r="E548" s="34" t="inlineStr">
        <is>
          <t>D</t>
        </is>
      </c>
      <c r="F548" s="79" t="n"/>
      <c r="G548" s="79" t="n"/>
      <c r="H548" s="79" t="n"/>
      <c r="I548" s="28" t="n">
        <v>3</v>
      </c>
      <c r="J548" s="62" t="inlineStr">
        <is>
          <t>Bukti Permintaan/Penyediaan Informasi</t>
        </is>
      </c>
      <c r="K548" s="78" t="inlineStr"/>
      <c r="L548" s="29" t="n"/>
      <c r="M548" s="10" t="n"/>
      <c r="N548" s="29" t="n"/>
      <c r="O548" s="29" t="n"/>
      <c r="P548" s="29" t="n"/>
      <c r="Q548" s="10" t="n"/>
      <c r="R548" s="30">
        <f>IF(OR(L548="",L548="N/A"),"",IF(L548="Tidak Ada",0,IF(P548="","",IF(P548="Tidak Sesuai",0,IF(AND(N548="Ya",O548="Ya",P548="Sesuai"),1,0.5)))))</f>
        <v/>
      </c>
      <c r="S548" s="30">
        <f>IF(L548="N/A","N/A",IF(R548="","Belum dinilai",IF(R548=1,"Memenuhi",IF(R548=0,"Tidak Memenuhi","Memenuhi Sebagian"))))</f>
        <v/>
      </c>
      <c r="T548" s="31" t="inlineStr">
        <is>
          <t>4.1-1</t>
        </is>
      </c>
      <c r="U548" s="79" t="n"/>
    </row>
    <row r="549" ht="39" customHeight="1">
      <c r="A549" s="77" t="n"/>
      <c r="B549" s="77" t="n"/>
      <c r="C549" s="77" t="n"/>
      <c r="D549" s="77" t="n"/>
      <c r="E549" s="35" t="inlineStr">
        <is>
          <t>E</t>
        </is>
      </c>
      <c r="F549" s="62" t="inlineStr">
        <is>
          <t>E – Kebijakan/Formalitas</t>
        </is>
      </c>
      <c r="G549" s="62" t="inlineStr">
        <is>
          <t>Ketersediaan informasi yang relevan untuk mendukung pengendalian intern tidak lengkap</t>
        </is>
      </c>
      <c r="H549" s="62" t="inlineStr">
        <is>
          <t>Organisasi telah memiliki/menetapkan ketersediaan informasi yang relevan untuk mendukung pengendalian intern tidak lengkap</t>
        </is>
      </c>
      <c r="I549" s="28" t="n">
        <v>1</v>
      </c>
      <c r="J549" s="62" t="inlineStr">
        <is>
          <t>Daftar Informasi yang Tersedia</t>
        </is>
      </c>
      <c r="K549" s="78" t="inlineStr"/>
      <c r="L549" s="29" t="n"/>
      <c r="M549" s="10" t="n"/>
      <c r="N549" s="29" t="n"/>
      <c r="O549" s="29" t="n"/>
      <c r="P549" s="29" t="n"/>
      <c r="Q549" s="10" t="n"/>
      <c r="R549" s="30">
        <f>IF(OR(L549="",L549="N/A"),"",IF(L549="Tidak Ada",0,IF(P549="","",IF(P549="Tidak Sesuai",0,IF(AND(N549="Ya",O549="Ya",P549="Sesuai"),1,0.5)))))</f>
        <v/>
      </c>
      <c r="S549" s="30">
        <f>IF(L549="N/A","N/A",IF(R549="","Belum dinilai",IF(R549=1,"Memenuhi",IF(R549=0,"Tidak Memenuhi","Memenuhi Sebagian"))))</f>
        <v/>
      </c>
      <c r="T549" s="31" t="inlineStr">
        <is>
          <t>4.1-1</t>
        </is>
      </c>
      <c r="U549" s="63">
        <f>IF(COUNT(R549:R550)=0,"",SUM(R549:R550)/COUNT(R549:R550))</f>
        <v/>
      </c>
    </row>
    <row r="550" ht="39" customHeight="1">
      <c r="A550" s="79" t="n"/>
      <c r="B550" s="79" t="n"/>
      <c r="C550" s="79" t="n"/>
      <c r="D550" s="79" t="n"/>
      <c r="E550" s="35" t="inlineStr">
        <is>
          <t>E</t>
        </is>
      </c>
      <c r="F550" s="79" t="n"/>
      <c r="G550" s="79" t="n"/>
      <c r="H550" s="79" t="n"/>
      <c r="I550" s="28" t="n">
        <v>2</v>
      </c>
      <c r="J550" s="62" t="inlineStr">
        <is>
          <t>SOP/Kebijakan Pengelolaan Informasi</t>
        </is>
      </c>
      <c r="K550" s="78" t="inlineStr"/>
      <c r="L550" s="29" t="n"/>
      <c r="M550" s="10" t="n"/>
      <c r="N550" s="29" t="n"/>
      <c r="O550" s="29" t="n"/>
      <c r="P550" s="29" t="n"/>
      <c r="Q550" s="10" t="n"/>
      <c r="R550" s="30">
        <f>IF(OR(L550="",L550="N/A"),"",IF(L550="Tidak Ada",0,IF(P550="","",IF(P550="Tidak Sesuai",0,IF(AND(N550="Ya",O550="Ya",P550="Sesuai"),1,0.5)))))</f>
        <v/>
      </c>
      <c r="S550" s="30">
        <f>IF(L550="N/A","N/A",IF(R550="","Belum dinilai",IF(R550=1,"Memenuhi",IF(R550=0,"Tidak Memenuhi","Memenuhi Sebagian"))))</f>
        <v/>
      </c>
      <c r="T550" s="31" t="inlineStr">
        <is>
          <t>4.1-1</t>
        </is>
      </c>
      <c r="U550" s="79" t="n"/>
    </row>
    <row r="551" ht="15" customHeight="1">
      <c r="A551" s="56" t="inlineStr">
        <is>
          <t>4.1</t>
        </is>
      </c>
      <c r="B551" s="57" t="inlineStr">
        <is>
          <t>Informasi yang Relevan</t>
        </is>
      </c>
      <c r="C551" s="58" t="n">
        <v>2</v>
      </c>
      <c r="D551" s="59" t="inlineStr">
        <is>
          <t>Pimpinan K/L/D membangun sistem pengaduan</t>
        </is>
      </c>
      <c r="E551" s="21" t="inlineStr">
        <is>
          <t>A</t>
        </is>
      </c>
      <c r="F551" s="60" t="inlineStr">
        <is>
          <t>A – Perbaikan Berkelanjutan</t>
        </is>
      </c>
      <c r="G551" s="60" t="inlineStr">
        <is>
          <t>Sistem pengaduan berdampak pada perbaikan berkelanjutan</t>
        </is>
      </c>
      <c r="H551" s="60" t="inlineStr">
        <is>
          <t>Sistem pengaduan berdampak pada perbaikan berkelanjutan</t>
        </is>
      </c>
      <c r="I551" s="22" t="n">
        <v>1</v>
      </c>
      <c r="J551" s="60" t="inlineStr">
        <is>
          <t>Laporan Evaluasi Sistem Pengaduan</t>
        </is>
      </c>
      <c r="K551" s="76" t="inlineStr"/>
      <c r="L551" s="23" t="n"/>
      <c r="M551" s="24" t="n"/>
      <c r="N551" s="23" t="n"/>
      <c r="O551" s="23" t="n"/>
      <c r="P551" s="23" t="n"/>
      <c r="Q551" s="24" t="n"/>
      <c r="R551" s="25">
        <f>IF(OR(L551="",L551="N/A"),"",IF(L551="Tidak Ada",0,IF(P551="","",IF(P551="Tidak Sesuai",0,IF(AND(N551="Ya",O551="Ya",P551="Sesuai"),1,0.5)))))</f>
        <v/>
      </c>
      <c r="S551" s="25">
        <f>IF(L551="N/A","N/A",IF(R551="","Belum dinilai",IF(R551=1,"Memenuhi",IF(R551=0,"Tidak Memenuhi","Memenuhi Sebagian"))))</f>
        <v/>
      </c>
      <c r="T551" s="26" t="inlineStr">
        <is>
          <t>4.1-2</t>
        </is>
      </c>
      <c r="U551" s="61">
        <f>IF(COUNT(R551:R553)=0,"",SUM(R551:R553)/COUNT(R551:R553))</f>
        <v/>
      </c>
    </row>
    <row r="552" ht="27" customHeight="1">
      <c r="A552" s="77" t="n"/>
      <c r="B552" s="77" t="n"/>
      <c r="C552" s="77" t="n"/>
      <c r="D552" s="77" t="n"/>
      <c r="E552" s="27" t="inlineStr">
        <is>
          <t>A</t>
        </is>
      </c>
      <c r="F552" s="77" t="n"/>
      <c r="G552" s="77" t="n"/>
      <c r="H552" s="77" t="n"/>
      <c r="I552" s="28" t="n">
        <v>2</v>
      </c>
      <c r="J552" s="62" t="inlineStr">
        <is>
          <t>Rekapitulasi Pengaduan dan Tindak Lanjut</t>
        </is>
      </c>
      <c r="K552" s="78" t="inlineStr"/>
      <c r="L552" s="29" t="n"/>
      <c r="M552" s="10" t="n"/>
      <c r="N552" s="29" t="n"/>
      <c r="O552" s="29" t="n"/>
      <c r="P552" s="29" t="n"/>
      <c r="Q552" s="10" t="n"/>
      <c r="R552" s="30">
        <f>IF(OR(L552="",L552="N/A"),"",IF(L552="Tidak Ada",0,IF(P552="","",IF(P552="Tidak Sesuai",0,IF(AND(N552="Ya",O552="Ya",P552="Sesuai"),1,0.5)))))</f>
        <v/>
      </c>
      <c r="S552" s="30">
        <f>IF(L552="N/A","N/A",IF(R552="","Belum dinilai",IF(R552=1,"Memenuhi",IF(R552=0,"Tidak Memenuhi","Memenuhi Sebagian"))))</f>
        <v/>
      </c>
      <c r="T552" s="31" t="inlineStr">
        <is>
          <t>4.1-2</t>
        </is>
      </c>
      <c r="U552" s="77" t="n"/>
    </row>
    <row r="553" ht="15" customHeight="1">
      <c r="A553" s="77" t="n"/>
      <c r="B553" s="77" t="n"/>
      <c r="C553" s="77" t="n"/>
      <c r="D553" s="77" t="n"/>
      <c r="E553" s="27" t="inlineStr">
        <is>
          <t>A</t>
        </is>
      </c>
      <c r="F553" s="79" t="n"/>
      <c r="G553" s="79" t="n"/>
      <c r="H553" s="79" t="n"/>
      <c r="I553" s="28" t="n">
        <v>3</v>
      </c>
      <c r="J553" s="62" t="inlineStr">
        <is>
          <t>Bukti Perbaikan Layanan</t>
        </is>
      </c>
      <c r="K553" s="78" t="inlineStr"/>
      <c r="L553" s="29" t="n"/>
      <c r="M553" s="10" t="n"/>
      <c r="N553" s="29" t="n"/>
      <c r="O553" s="29" t="n"/>
      <c r="P553" s="29" t="n"/>
      <c r="Q553" s="10" t="n"/>
      <c r="R553" s="30">
        <f>IF(OR(L553="",L553="N/A"),"",IF(L553="Tidak Ada",0,IF(P553="","",IF(P553="Tidak Sesuai",0,IF(AND(N553="Ya",O553="Ya",P553="Sesuai"),1,0.5)))))</f>
        <v/>
      </c>
      <c r="S553" s="30">
        <f>IF(L553="N/A","N/A",IF(R553="","Belum dinilai",IF(R553=1,"Memenuhi",IF(R553=0,"Tidak Memenuhi","Memenuhi Sebagian"))))</f>
        <v/>
      </c>
      <c r="T553" s="31" t="inlineStr">
        <is>
          <t>4.1-2</t>
        </is>
      </c>
      <c r="U553" s="79" t="n"/>
    </row>
    <row r="554" ht="15" customHeight="1">
      <c r="A554" s="77" t="n"/>
      <c r="B554" s="77" t="n"/>
      <c r="C554" s="77" t="n"/>
      <c r="D554" s="77" t="n"/>
      <c r="E554" s="32" t="inlineStr">
        <is>
          <t>B</t>
        </is>
      </c>
      <c r="F554" s="62" t="inlineStr">
        <is>
          <t>B – Evaluasi &amp; Tindak Lanjut</t>
        </is>
      </c>
      <c r="G554" s="62" t="inlineStr">
        <is>
          <t>Sistem pengaduan telah dievaluasi</t>
        </is>
      </c>
      <c r="H554" s="62" t="inlineStr">
        <is>
          <t>Sistem pengaduan telah dievaluasi</t>
        </is>
      </c>
      <c r="I554" s="28" t="n">
        <v>1</v>
      </c>
      <c r="J554" s="62" t="inlineStr">
        <is>
          <t>Laporan Evaluasi Sistem Pengaduan</t>
        </is>
      </c>
      <c r="K554" s="78" t="inlineStr"/>
      <c r="L554" s="29" t="n"/>
      <c r="M554" s="10" t="n"/>
      <c r="N554" s="29" t="n"/>
      <c r="O554" s="29" t="n"/>
      <c r="P554" s="29" t="n"/>
      <c r="Q554" s="10" t="n"/>
      <c r="R554" s="30">
        <f>IF(OR(L554="",L554="N/A"),"",IF(L554="Tidak Ada",0,IF(P554="","",IF(P554="Tidak Sesuai",0,IF(AND(N554="Ya",O554="Ya",P554="Sesuai"),1,0.5)))))</f>
        <v/>
      </c>
      <c r="S554" s="30">
        <f>IF(L554="N/A","N/A",IF(R554="","Belum dinilai",IF(R554=1,"Memenuhi",IF(R554=0,"Tidak Memenuhi","Memenuhi Sebagian"))))</f>
        <v/>
      </c>
      <c r="T554" s="31" t="inlineStr">
        <is>
          <t>4.1-2</t>
        </is>
      </c>
      <c r="U554" s="63">
        <f>IF(COUNT(R554:R556)=0,"",SUM(R554:R556)/COUNT(R554:R556))</f>
        <v/>
      </c>
    </row>
    <row r="555" ht="15" customHeight="1">
      <c r="A555" s="77" t="n"/>
      <c r="B555" s="77" t="n"/>
      <c r="C555" s="77" t="n"/>
      <c r="D555" s="77" t="n"/>
      <c r="E555" s="32" t="inlineStr">
        <is>
          <t>B</t>
        </is>
      </c>
      <c r="F555" s="77" t="n"/>
      <c r="G555" s="77" t="n"/>
      <c r="H555" s="77" t="n"/>
      <c r="I555" s="28" t="n">
        <v>2</v>
      </c>
      <c r="J555" s="62" t="inlineStr">
        <is>
          <t>Rekapitulasi Pengaduan</t>
        </is>
      </c>
      <c r="K555" s="78" t="inlineStr"/>
      <c r="L555" s="29" t="n"/>
      <c r="M555" s="10" t="n"/>
      <c r="N555" s="29" t="n"/>
      <c r="O555" s="29" t="n"/>
      <c r="P555" s="29" t="n"/>
      <c r="Q555" s="10" t="n"/>
      <c r="R555" s="30">
        <f>IF(OR(L555="",L555="N/A"),"",IF(L555="Tidak Ada",0,IF(P555="","",IF(P555="Tidak Sesuai",0,IF(AND(N555="Ya",O555="Ya",P555="Sesuai"),1,0.5)))))</f>
        <v/>
      </c>
      <c r="S555" s="30">
        <f>IF(L555="N/A","N/A",IF(R555="","Belum dinilai",IF(R555=1,"Memenuhi",IF(R555=0,"Tidak Memenuhi","Memenuhi Sebagian"))))</f>
        <v/>
      </c>
      <c r="T555" s="31" t="inlineStr">
        <is>
          <t>4.1-2</t>
        </is>
      </c>
      <c r="U555" s="77" t="n"/>
    </row>
    <row r="556" ht="27" customHeight="1">
      <c r="A556" s="77" t="n"/>
      <c r="B556" s="77" t="n"/>
      <c r="C556" s="77" t="n"/>
      <c r="D556" s="77" t="n"/>
      <c r="E556" s="32" t="inlineStr">
        <is>
          <t>B</t>
        </is>
      </c>
      <c r="F556" s="79" t="n"/>
      <c r="G556" s="79" t="n"/>
      <c r="H556" s="79" t="n"/>
      <c r="I556" s="28" t="n">
        <v>3</v>
      </c>
      <c r="J556" s="62" t="inlineStr">
        <is>
          <t>Matriks Tindak Lanjut Hasil Evaluasi</t>
        </is>
      </c>
      <c r="K556" s="78" t="inlineStr"/>
      <c r="L556" s="29" t="n"/>
      <c r="M556" s="10" t="n"/>
      <c r="N556" s="29" t="n"/>
      <c r="O556" s="29" t="n"/>
      <c r="P556" s="29" t="n"/>
      <c r="Q556" s="10" t="n"/>
      <c r="R556" s="30">
        <f>IF(OR(L556="",L556="N/A"),"",IF(L556="Tidak Ada",0,IF(P556="","",IF(P556="Tidak Sesuai",0,IF(AND(N556="Ya",O556="Ya",P556="Sesuai"),1,0.5)))))</f>
        <v/>
      </c>
      <c r="S556" s="30">
        <f>IF(L556="N/A","N/A",IF(R556="","Belum dinilai",IF(R556=1,"Memenuhi",IF(R556=0,"Tidak Memenuhi","Memenuhi Sebagian"))))</f>
        <v/>
      </c>
      <c r="T556" s="31" t="inlineStr">
        <is>
          <t>4.1-2</t>
        </is>
      </c>
      <c r="U556" s="79" t="n"/>
    </row>
    <row r="557" ht="27" customHeight="1">
      <c r="A557" s="77" t="n"/>
      <c r="B557" s="77" t="n"/>
      <c r="C557" s="77" t="n"/>
      <c r="D557" s="77" t="n"/>
      <c r="E557" s="33" t="inlineStr">
        <is>
          <t>C</t>
        </is>
      </c>
      <c r="F557" s="62" t="inlineStr">
        <is>
          <t>C – Implementasi</t>
        </is>
      </c>
      <c r="G557" s="62" t="inlineStr">
        <is>
          <t>Sistem pengaduan telah diterapkan dan ditindaklanjuti sesuai Kebijakan/SOP</t>
        </is>
      </c>
      <c r="H557" s="62" t="inlineStr">
        <is>
          <t>Sistem pengaduan telah diterapkan dan ditindaklanjuti sesuai Kebijakan/SOP</t>
        </is>
      </c>
      <c r="I557" s="28" t="n">
        <v>1</v>
      </c>
      <c r="J557" s="62" t="inlineStr">
        <is>
          <t>Laporan Pengelolaan Pengaduan</t>
        </is>
      </c>
      <c r="K557" s="78" t="inlineStr"/>
      <c r="L557" s="29" t="n"/>
      <c r="M557" s="10" t="n"/>
      <c r="N557" s="29" t="n"/>
      <c r="O557" s="29" t="n"/>
      <c r="P557" s="29" t="n"/>
      <c r="Q557" s="10" t="n"/>
      <c r="R557" s="30">
        <f>IF(OR(L557="",L557="N/A"),"",IF(L557="Tidak Ada",0,IF(P557="","",IF(P557="Tidak Sesuai",0,IF(AND(N557="Ya",O557="Ya",P557="Sesuai"),1,0.5)))))</f>
        <v/>
      </c>
      <c r="S557" s="30">
        <f>IF(L557="N/A","N/A",IF(R557="","Belum dinilai",IF(R557=1,"Memenuhi",IF(R557=0,"Tidak Memenuhi","Memenuhi Sebagian"))))</f>
        <v/>
      </c>
      <c r="T557" s="31" t="inlineStr">
        <is>
          <t>4.1-2</t>
        </is>
      </c>
      <c r="U557" s="63">
        <f>IF(COUNT(R557:R559)=0,"",SUM(R557:R559)/COUNT(R557:R559))</f>
        <v/>
      </c>
    </row>
    <row r="558" ht="27" customHeight="1">
      <c r="A558" s="77" t="n"/>
      <c r="B558" s="77" t="n"/>
      <c r="C558" s="77" t="n"/>
      <c r="D558" s="77" t="n"/>
      <c r="E558" s="33" t="inlineStr">
        <is>
          <t>C</t>
        </is>
      </c>
      <c r="F558" s="77" t="n"/>
      <c r="G558" s="77" t="n"/>
      <c r="H558" s="77" t="n"/>
      <c r="I558" s="28" t="n">
        <v>2</v>
      </c>
      <c r="J558" s="62" t="inlineStr">
        <is>
          <t>Rekapitulasi Pengaduan dan Tindak Lanjut</t>
        </is>
      </c>
      <c r="K558" s="78" t="inlineStr"/>
      <c r="L558" s="29" t="n"/>
      <c r="M558" s="10" t="n"/>
      <c r="N558" s="29" t="n"/>
      <c r="O558" s="29" t="n"/>
      <c r="P558" s="29" t="n"/>
      <c r="Q558" s="10" t="n"/>
      <c r="R558" s="30">
        <f>IF(OR(L558="",L558="N/A"),"",IF(L558="Tidak Ada",0,IF(P558="","",IF(P558="Tidak Sesuai",0,IF(AND(N558="Ya",O558="Ya",P558="Sesuai"),1,0.5)))))</f>
        <v/>
      </c>
      <c r="S558" s="30">
        <f>IF(L558="N/A","N/A",IF(R558="","Belum dinilai",IF(R558=1,"Memenuhi",IF(R558=0,"Tidak Memenuhi","Memenuhi Sebagian"))))</f>
        <v/>
      </c>
      <c r="T558" s="31" t="inlineStr">
        <is>
          <t>4.1-2</t>
        </is>
      </c>
      <c r="U558" s="77" t="n"/>
    </row>
    <row r="559" ht="27" customHeight="1">
      <c r="A559" s="77" t="n"/>
      <c r="B559" s="77" t="n"/>
      <c r="C559" s="77" t="n"/>
      <c r="D559" s="77" t="n"/>
      <c r="E559" s="33" t="inlineStr">
        <is>
          <t>C</t>
        </is>
      </c>
      <c r="F559" s="79" t="n"/>
      <c r="G559" s="79" t="n"/>
      <c r="H559" s="79" t="n"/>
      <c r="I559" s="28" t="n">
        <v>3</v>
      </c>
      <c r="J559" s="62" t="inlineStr">
        <is>
          <t>SOP Sistem Pengaduan</t>
        </is>
      </c>
      <c r="K559" s="78" t="inlineStr"/>
      <c r="L559" s="29" t="inlineStr">
        <is>
          <t>Ada</t>
        </is>
      </c>
      <c r="M559" s="66" t="inlineStr">
        <is>
          <t>SOP</t>
        </is>
      </c>
      <c r="N559" s="29" t="inlineStr">
        <is>
          <t>Ya</t>
        </is>
      </c>
      <c r="O559" s="29" t="inlineStr">
        <is>
          <t>Ya</t>
        </is>
      </c>
      <c r="P559" s="29" t="inlineStr">
        <is>
          <t>Sesuai</t>
        </is>
      </c>
      <c r="Q559" s="10" t="n"/>
      <c r="R559" s="30">
        <f>IF(OR(L559="",L559="N/A"),"",IF(L559="Tidak Ada",0,IF(P559="","",IF(P559="Tidak Sesuai",0,IF(AND(N559="Ya",O559="Ya",P559="Sesuai"),1,0.5)))))</f>
        <v/>
      </c>
      <c r="S559" s="30">
        <f>IF(L559="N/A","N/A",IF(R559="","Belum dinilai",IF(R559=1,"Memenuhi",IF(R559=0,"Tidak Memenuhi","Memenuhi Sebagian"))))</f>
        <v/>
      </c>
      <c r="T559" s="31" t="inlineStr">
        <is>
          <t>4.1-2</t>
        </is>
      </c>
      <c r="U559" s="79" t="n"/>
    </row>
    <row r="560" ht="27" customHeight="1">
      <c r="A560" s="77" t="n"/>
      <c r="B560" s="77" t="n"/>
      <c r="C560" s="77" t="n"/>
      <c r="D560" s="77" t="n"/>
      <c r="E560" s="34" t="inlineStr">
        <is>
          <t>D</t>
        </is>
      </c>
      <c r="F560" s="62" t="inlineStr">
        <is>
          <t>D – Komunikasi &amp; Pemahaman</t>
        </is>
      </c>
      <c r="G560" s="62" t="inlineStr">
        <is>
          <t>Keberadaan sistem pengaduan telah disosialisasikan kepada masyarakat/stakeholder</t>
        </is>
      </c>
      <c r="H560" s="62" t="inlineStr">
        <is>
          <t>Keberadaan sistem pengaduan telah disosialisasikan kepada masyarakat/stakeholder</t>
        </is>
      </c>
      <c r="I560" s="28" t="n">
        <v>1</v>
      </c>
      <c r="J560" s="62" t="inlineStr">
        <is>
          <t>Bukti Sosialisasi Sistem Pengaduan</t>
        </is>
      </c>
      <c r="K560" s="78" t="inlineStr"/>
      <c r="L560" s="29" t="n"/>
      <c r="M560" s="10" t="n"/>
      <c r="N560" s="29" t="n"/>
      <c r="O560" s="29" t="n"/>
      <c r="P560" s="29" t="n"/>
      <c r="Q560" s="10" t="n"/>
      <c r="R560" s="30">
        <f>IF(OR(L560="",L560="N/A"),"",IF(L560="Tidak Ada",0,IF(P560="","",IF(P560="Tidak Sesuai",0,IF(AND(N560="Ya",O560="Ya",P560="Sesuai"),1,0.5)))))</f>
        <v/>
      </c>
      <c r="S560" s="30">
        <f>IF(L560="N/A","N/A",IF(R560="","Belum dinilai",IF(R560=1,"Memenuhi",IF(R560=0,"Tidak Memenuhi","Memenuhi Sebagian"))))</f>
        <v/>
      </c>
      <c r="T560" s="31" t="inlineStr">
        <is>
          <t>4.1-2</t>
        </is>
      </c>
      <c r="U560" s="63">
        <f>IF(COUNT(R560:R561)=0,"",SUM(R560:R561)/COUNT(R560:R561))</f>
        <v/>
      </c>
    </row>
    <row r="561" ht="27" customHeight="1">
      <c r="A561" s="77" t="n"/>
      <c r="B561" s="77" t="n"/>
      <c r="C561" s="77" t="n"/>
      <c r="D561" s="77" t="n"/>
      <c r="E561" s="34" t="inlineStr">
        <is>
          <t>D</t>
        </is>
      </c>
      <c r="F561" s="79" t="n"/>
      <c r="G561" s="79" t="n"/>
      <c r="H561" s="79" t="n"/>
      <c r="I561" s="28" t="n">
        <v>2</v>
      </c>
      <c r="J561" s="62" t="inlineStr">
        <is>
          <t>Materi/Media Publikasi Kanal Pengaduan</t>
        </is>
      </c>
      <c r="K561" s="78" t="inlineStr"/>
      <c r="L561" s="29" t="n"/>
      <c r="M561" s="10" t="n"/>
      <c r="N561" s="29" t="n"/>
      <c r="O561" s="29" t="n"/>
      <c r="P561" s="29" t="n"/>
      <c r="Q561" s="10" t="n"/>
      <c r="R561" s="30">
        <f>IF(OR(L561="",L561="N/A"),"",IF(L561="Tidak Ada",0,IF(P561="","",IF(P561="Tidak Sesuai",0,IF(AND(N561="Ya",O561="Ya",P561="Sesuai"),1,0.5)))))</f>
        <v/>
      </c>
      <c r="S561" s="30">
        <f>IF(L561="N/A","N/A",IF(R561="","Belum dinilai",IF(R561=1,"Memenuhi",IF(R561=0,"Tidak Memenuhi","Memenuhi Sebagian"))))</f>
        <v/>
      </c>
      <c r="T561" s="31" t="inlineStr">
        <is>
          <t>4.1-2</t>
        </is>
      </c>
      <c r="U561" s="79" t="n"/>
    </row>
    <row r="562" ht="15" customHeight="1">
      <c r="A562" s="77" t="n"/>
      <c r="B562" s="77" t="n"/>
      <c r="C562" s="77" t="n"/>
      <c r="D562" s="77" t="n"/>
      <c r="E562" s="35" t="inlineStr">
        <is>
          <t>E</t>
        </is>
      </c>
      <c r="F562" s="62" t="inlineStr">
        <is>
          <t>E – Kebijakan/Formalitas</t>
        </is>
      </c>
      <c r="G562" s="62" t="inlineStr">
        <is>
          <t>Telah terdapat kebijakan penerapan sistem pengaduan</t>
        </is>
      </c>
      <c r="H562" s="62" t="inlineStr">
        <is>
          <t>Terdapat kebijakan penerapan sistem pengaduan</t>
        </is>
      </c>
      <c r="I562" s="28" t="n">
        <v>1</v>
      </c>
      <c r="J562" s="62" t="inlineStr">
        <is>
          <t>Kebijakan/SOP Sistem Pengaduan</t>
        </is>
      </c>
      <c r="K562" s="78" t="inlineStr"/>
      <c r="L562" s="29" t="n"/>
      <c r="M562" s="10" t="n"/>
      <c r="N562" s="29" t="n"/>
      <c r="O562" s="29" t="n"/>
      <c r="P562" s="29" t="n"/>
      <c r="Q562" s="10" t="n"/>
      <c r="R562" s="30">
        <f>IF(OR(L562="",L562="N/A"),"",IF(L562="Tidak Ada",0,IF(P562="","",IF(P562="Tidak Sesuai",0,IF(AND(N562="Ya",O562="Ya",P562="Sesuai"),1,0.5)))))</f>
        <v/>
      </c>
      <c r="S562" s="30">
        <f>IF(L562="N/A","N/A",IF(R562="","Belum dinilai",IF(R562=1,"Memenuhi",IF(R562=0,"Tidak Memenuhi","Memenuhi Sebagian"))))</f>
        <v/>
      </c>
      <c r="T562" s="31" t="inlineStr">
        <is>
          <t>4.1-2</t>
        </is>
      </c>
      <c r="U562" s="63">
        <f>IF(COUNT(R562:R563)=0,"",SUM(R562:R563)/COUNT(R562:R563))</f>
        <v/>
      </c>
    </row>
    <row r="563" ht="15" customHeight="1">
      <c r="A563" s="79" t="n"/>
      <c r="B563" s="79" t="n"/>
      <c r="C563" s="79" t="n"/>
      <c r="D563" s="79" t="n"/>
      <c r="E563" s="35" t="inlineStr">
        <is>
          <t>E</t>
        </is>
      </c>
      <c r="F563" s="79" t="n"/>
      <c r="G563" s="79" t="n"/>
      <c r="H563" s="79" t="n"/>
      <c r="I563" s="28" t="n">
        <v>2</v>
      </c>
      <c r="J563" s="62" t="inlineStr">
        <is>
          <t>SK Penetapan Pengelola Pengaduan</t>
        </is>
      </c>
      <c r="K563" s="78" t="inlineStr"/>
      <c r="L563" s="29" t="n"/>
      <c r="M563" s="10" t="n"/>
      <c r="N563" s="29" t="n"/>
      <c r="O563" s="29" t="n"/>
      <c r="P563" s="29" t="n"/>
      <c r="Q563" s="10" t="n"/>
      <c r="R563" s="30">
        <f>IF(OR(L563="",L563="N/A"),"",IF(L563="Tidak Ada",0,IF(P563="","",IF(P563="Tidak Sesuai",0,IF(AND(N563="Ya",O563="Ya",P563="Sesuai"),1,0.5)))))</f>
        <v/>
      </c>
      <c r="S563" s="30">
        <f>IF(L563="N/A","N/A",IF(R563="","Belum dinilai",IF(R563=1,"Memenuhi",IF(R563=0,"Tidak Memenuhi","Memenuhi Sebagian"))))</f>
        <v/>
      </c>
      <c r="T563" s="31" t="inlineStr">
        <is>
          <t>4.1-2</t>
        </is>
      </c>
      <c r="U563" s="79" t="n"/>
    </row>
    <row r="564" ht="39" customHeight="1">
      <c r="A564" s="56" t="inlineStr">
        <is>
          <t>4.1</t>
        </is>
      </c>
      <c r="B564" s="57" t="inlineStr">
        <is>
          <t>Informasi yang Relevan</t>
        </is>
      </c>
      <c r="C564" s="58" t="n">
        <v>3</v>
      </c>
      <c r="D564" s="59" t="inlineStr">
        <is>
          <t>Strategi dan kebijakan manajemen risiko telah dikomunikasikan.</t>
        </is>
      </c>
      <c r="E564" s="21" t="inlineStr">
        <is>
          <t>A</t>
        </is>
      </c>
      <c r="F564" s="60" t="inlineStr">
        <is>
          <t>A – Perbaikan Berkelanjutan</t>
        </is>
      </c>
      <c r="G564" s="60" t="inlineStr">
        <is>
          <t>Strategi dan kebijakan manajemen risiko telah dikomunikasikan pada seluruh pegawai pada tingkat operasional unit kerja, tingkat strategis unit kerja, dan tingkat strategis K/L/D</t>
        </is>
      </c>
      <c r="H564" s="60" t="inlineStr">
        <is>
          <t>Strategi dan kebijakan manajemen risiko telah dikomunikasikan pada seluruh pegawai pada tingkat operasional unit kerja, tingkat strategis unit kerja, dan tingkat strategis K/L/D</t>
        </is>
      </c>
      <c r="I564" s="22" t="n">
        <v>1</v>
      </c>
      <c r="J564" s="60" t="inlineStr">
        <is>
          <t>Laporan/Daftar Rekapitulasi Sosialisasi Strategi dan Kebijakan Manajemen Risiko</t>
        </is>
      </c>
      <c r="K564" s="76" t="inlineStr"/>
      <c r="L564" s="23" t="n"/>
      <c r="M564" s="24" t="n"/>
      <c r="N564" s="23" t="n"/>
      <c r="O564" s="23" t="n"/>
      <c r="P564" s="23" t="n"/>
      <c r="Q564" s="24" t="n"/>
      <c r="R564" s="25">
        <f>IF(OR(L564="",L564="N/A"),"",IF(L564="Tidak Ada",0,IF(P564="","",IF(P564="Tidak Sesuai",0,IF(AND(N564="Ya",O564="Ya",P564="Sesuai"),1,0.5)))))</f>
        <v/>
      </c>
      <c r="S564" s="25">
        <f>IF(L564="N/A","N/A",IF(R564="","Belum dinilai",IF(R564=1,"Memenuhi",IF(R564=0,"Tidak Memenuhi","Memenuhi Sebagian"))))</f>
        <v/>
      </c>
      <c r="T564" s="26" t="inlineStr">
        <is>
          <t>4.1-3</t>
        </is>
      </c>
      <c r="U564" s="61">
        <f>IF(COUNT(R564:R566)=0,"",SUM(R564:R566)/COUNT(R564:R566))</f>
        <v/>
      </c>
    </row>
    <row r="565" ht="39" customHeight="1">
      <c r="A565" s="77" t="n"/>
      <c r="B565" s="77" t="n"/>
      <c r="C565" s="77" t="n"/>
      <c r="D565" s="77" t="n"/>
      <c r="E565" s="27" t="inlineStr">
        <is>
          <t>A</t>
        </is>
      </c>
      <c r="F565" s="77" t="n"/>
      <c r="G565" s="77" t="n"/>
      <c r="H565" s="77" t="n"/>
      <c r="I565" s="28" t="n">
        <v>2</v>
      </c>
      <c r="J565" s="62" t="inlineStr">
        <is>
          <t>Daftar Hadir Seluruh Tingkat Pegawai</t>
        </is>
      </c>
      <c r="K565" s="78" t="inlineStr"/>
      <c r="L565" s="29" t="n"/>
      <c r="M565" s="10" t="n"/>
      <c r="N565" s="29" t="n"/>
      <c r="O565" s="29" t="n"/>
      <c r="P565" s="29" t="n"/>
      <c r="Q565" s="10" t="n"/>
      <c r="R565" s="30">
        <f>IF(OR(L565="",L565="N/A"),"",IF(L565="Tidak Ada",0,IF(P565="","",IF(P565="Tidak Sesuai",0,IF(AND(N565="Ya",O565="Ya",P565="Sesuai"),1,0.5)))))</f>
        <v/>
      </c>
      <c r="S565" s="30">
        <f>IF(L565="N/A","N/A",IF(R565="","Belum dinilai",IF(R565=1,"Memenuhi",IF(R565=0,"Tidak Memenuhi","Memenuhi Sebagian"))))</f>
        <v/>
      </c>
      <c r="T565" s="31" t="inlineStr">
        <is>
          <t>4.1-3</t>
        </is>
      </c>
      <c r="U565" s="77" t="n"/>
    </row>
    <row r="566" ht="39" customHeight="1">
      <c r="A566" s="77" t="n"/>
      <c r="B566" s="77" t="n"/>
      <c r="C566" s="77" t="n"/>
      <c r="D566" s="77" t="n"/>
      <c r="E566" s="27" t="inlineStr">
        <is>
          <t>A</t>
        </is>
      </c>
      <c r="F566" s="79" t="n"/>
      <c r="G566" s="79" t="n"/>
      <c r="H566" s="79" t="n"/>
      <c r="I566" s="28" t="n">
        <v>3</v>
      </c>
      <c r="J566" s="62" t="inlineStr">
        <is>
          <t>Materi Sosialisasi</t>
        </is>
      </c>
      <c r="K566" s="78" t="inlineStr"/>
      <c r="L566" s="29" t="n"/>
      <c r="M566" s="10" t="n"/>
      <c r="N566" s="29" t="n"/>
      <c r="O566" s="29" t="n"/>
      <c r="P566" s="29" t="n"/>
      <c r="Q566" s="10" t="n"/>
      <c r="R566" s="30">
        <f>IF(OR(L566="",L566="N/A"),"",IF(L566="Tidak Ada",0,IF(P566="","",IF(P566="Tidak Sesuai",0,IF(AND(N566="Ya",O566="Ya",P566="Sesuai"),1,0.5)))))</f>
        <v/>
      </c>
      <c r="S566" s="30">
        <f>IF(L566="N/A","N/A",IF(R566="","Belum dinilai",IF(R566=1,"Memenuhi",IF(R566=0,"Tidak Memenuhi","Memenuhi Sebagian"))))</f>
        <v/>
      </c>
      <c r="T566" s="31" t="inlineStr">
        <is>
          <t>4.1-3</t>
        </is>
      </c>
      <c r="U566" s="79" t="n"/>
    </row>
    <row r="567" ht="51" customHeight="1">
      <c r="A567" s="77" t="n"/>
      <c r="B567" s="77" t="n"/>
      <c r="C567" s="77" t="n"/>
      <c r="D567" s="77" t="n"/>
      <c r="E567" s="32" t="inlineStr">
        <is>
          <t>B</t>
        </is>
      </c>
      <c r="F567" s="62" t="inlineStr">
        <is>
          <t>B – Evaluasi &amp; Tindak Lanjut</t>
        </is>
      </c>
      <c r="G567" s="62" t="inlineStr">
        <is>
          <t>Strategi dan kebijakan manajemen risiko telah dikomunikasikan pada seluruh pegawai pada tingkat operasional unit kerja dan tingkat strategis unit kerja</t>
        </is>
      </c>
      <c r="H567" s="62" t="inlineStr">
        <is>
          <t>Strategi dan kebijakan manajemen risiko telah dikomunikasikan pada seluruh pegawai pada tingkat operasional unit kerja dan tingkat strategis unit kerja</t>
        </is>
      </c>
      <c r="I567" s="28" t="n">
        <v>1</v>
      </c>
      <c r="J567" s="62" t="inlineStr">
        <is>
          <t>Laporan/Daftar Rekapitulasi Sosialisasi Strategi dan Kebijakan Manajemen Risiko</t>
        </is>
      </c>
      <c r="K567" s="78" t="inlineStr"/>
      <c r="L567" s="29" t="n"/>
      <c r="M567" s="10" t="n"/>
      <c r="N567" s="29" t="n"/>
      <c r="O567" s="29" t="n"/>
      <c r="P567" s="29" t="n"/>
      <c r="Q567" s="10" t="n"/>
      <c r="R567" s="30">
        <f>IF(OR(L567="",L567="N/A"),"",IF(L567="Tidak Ada",0,IF(P567="","",IF(P567="Tidak Sesuai",0,IF(AND(N567="Ya",O567="Ya",P567="Sesuai"),1,0.5)))))</f>
        <v/>
      </c>
      <c r="S567" s="30">
        <f>IF(L567="N/A","N/A",IF(R567="","Belum dinilai",IF(R567=1,"Memenuhi",IF(R567=0,"Tidak Memenuhi","Memenuhi Sebagian"))))</f>
        <v/>
      </c>
      <c r="T567" s="31" t="inlineStr">
        <is>
          <t>4.1-3</t>
        </is>
      </c>
      <c r="U567" s="63">
        <f>IF(COUNT(R567:R568)=0,"",SUM(R567:R568)/COUNT(R567:R568))</f>
        <v/>
      </c>
    </row>
    <row r="568" ht="51" customHeight="1">
      <c r="A568" s="77" t="n"/>
      <c r="B568" s="77" t="n"/>
      <c r="C568" s="77" t="n"/>
      <c r="D568" s="77" t="n"/>
      <c r="E568" s="32" t="inlineStr">
        <is>
          <t>B</t>
        </is>
      </c>
      <c r="F568" s="79" t="n"/>
      <c r="G568" s="79" t="n"/>
      <c r="H568" s="79" t="n"/>
      <c r="I568" s="28" t="n">
        <v>2</v>
      </c>
      <c r="J568" s="62" t="inlineStr">
        <is>
          <t>Daftar Hadir Tingkat Operasional dan Strategis Unit Kerja</t>
        </is>
      </c>
      <c r="K568" s="78" t="inlineStr"/>
      <c r="L568" s="29" t="n"/>
      <c r="M568" s="10" t="n"/>
      <c r="N568" s="29" t="n"/>
      <c r="O568" s="29" t="n"/>
      <c r="P568" s="29" t="n"/>
      <c r="Q568" s="10" t="n"/>
      <c r="R568" s="30">
        <f>IF(OR(L568="",L568="N/A"),"",IF(L568="Tidak Ada",0,IF(P568="","",IF(P568="Tidak Sesuai",0,IF(AND(N568="Ya",O568="Ya",P568="Sesuai"),1,0.5)))))</f>
        <v/>
      </c>
      <c r="S568" s="30">
        <f>IF(L568="N/A","N/A",IF(R568="","Belum dinilai",IF(R568=1,"Memenuhi",IF(R568=0,"Tidak Memenuhi","Memenuhi Sebagian"))))</f>
        <v/>
      </c>
      <c r="T568" s="31" t="inlineStr">
        <is>
          <t>4.1-3</t>
        </is>
      </c>
      <c r="U568" s="79" t="n"/>
    </row>
    <row r="569" ht="39" customHeight="1">
      <c r="A569" s="77" t="n"/>
      <c r="B569" s="77" t="n"/>
      <c r="C569" s="77" t="n"/>
      <c r="D569" s="77" t="n"/>
      <c r="E569" s="33" t="inlineStr">
        <is>
          <t>C</t>
        </is>
      </c>
      <c r="F569" s="62" t="inlineStr">
        <is>
          <t>C – Implementasi</t>
        </is>
      </c>
      <c r="G569" s="62" t="inlineStr">
        <is>
          <t>Strategi dan kebijakan manajemen risiko telah dikomunikasikan pada seluruh pegawai pada tingkat operasional unit kerja dan sebagian pegawai pada tingkat strategis unit kerja</t>
        </is>
      </c>
      <c r="H569" s="62" t="inlineStr">
        <is>
          <t>Strategi dan kebijakan manajemen risiko telah dikomunikasikan pada seluruh pegawai pada tingkat operasional unit kerja dan sebagian pegawai pada tingkat strategis unit kerja</t>
        </is>
      </c>
      <c r="I569" s="28" t="n">
        <v>1</v>
      </c>
      <c r="J569" s="62" t="inlineStr">
        <is>
          <t>Daftar Hadir Sosialisasi Strategi dan Kebijakan Manajemen Risiko</t>
        </is>
      </c>
      <c r="K569" s="78" t="inlineStr"/>
      <c r="L569" s="29" t="n"/>
      <c r="M569" s="10" t="n"/>
      <c r="N569" s="29" t="n"/>
      <c r="O569" s="29" t="n"/>
      <c r="P569" s="29" t="n"/>
      <c r="Q569" s="10" t="n"/>
      <c r="R569" s="30">
        <f>IF(OR(L569="",L569="N/A"),"",IF(L569="Tidak Ada",0,IF(P569="","",IF(P569="Tidak Sesuai",0,IF(AND(N569="Ya",O569="Ya",P569="Sesuai"),1,0.5)))))</f>
        <v/>
      </c>
      <c r="S569" s="30">
        <f>IF(L569="N/A","N/A",IF(R569="","Belum dinilai",IF(R569=1,"Memenuhi",IF(R569=0,"Tidak Memenuhi","Memenuhi Sebagian"))))</f>
        <v/>
      </c>
      <c r="T569" s="31" t="inlineStr">
        <is>
          <t>4.1-3</t>
        </is>
      </c>
      <c r="U569" s="63">
        <f>IF(COUNT(R569:R571)=0,"",SUM(R569:R571)/COUNT(R569:R571))</f>
        <v/>
      </c>
    </row>
    <row r="570" ht="39" customHeight="1">
      <c r="A570" s="77" t="n"/>
      <c r="B570" s="77" t="n"/>
      <c r="C570" s="77" t="n"/>
      <c r="D570" s="77" t="n"/>
      <c r="E570" s="33" t="inlineStr">
        <is>
          <t>C</t>
        </is>
      </c>
      <c r="F570" s="77" t="n"/>
      <c r="G570" s="77" t="n"/>
      <c r="H570" s="77" t="n"/>
      <c r="I570" s="28" t="n">
        <v>2</v>
      </c>
      <c r="J570" s="62" t="inlineStr">
        <is>
          <t>Materi Sosialisasi</t>
        </is>
      </c>
      <c r="K570" s="78" t="inlineStr"/>
      <c r="L570" s="29" t="n"/>
      <c r="M570" s="10" t="n"/>
      <c r="N570" s="29" t="n"/>
      <c r="O570" s="29" t="n"/>
      <c r="P570" s="29" t="n"/>
      <c r="Q570" s="10" t="n"/>
      <c r="R570" s="30">
        <f>IF(OR(L570="",L570="N/A"),"",IF(L570="Tidak Ada",0,IF(P570="","",IF(P570="Tidak Sesuai",0,IF(AND(N570="Ya",O570="Ya",P570="Sesuai"),1,0.5)))))</f>
        <v/>
      </c>
      <c r="S570" s="30">
        <f>IF(L570="N/A","N/A",IF(R570="","Belum dinilai",IF(R570=1,"Memenuhi",IF(R570=0,"Tidak Memenuhi","Memenuhi Sebagian"))))</f>
        <v/>
      </c>
      <c r="T570" s="31" t="inlineStr">
        <is>
          <t>4.1-3</t>
        </is>
      </c>
      <c r="U570" s="77" t="n"/>
    </row>
    <row r="571" ht="39" customHeight="1">
      <c r="A571" s="77" t="n"/>
      <c r="B571" s="77" t="n"/>
      <c r="C571" s="77" t="n"/>
      <c r="D571" s="77" t="n"/>
      <c r="E571" s="33" t="inlineStr">
        <is>
          <t>C</t>
        </is>
      </c>
      <c r="F571" s="79" t="n"/>
      <c r="G571" s="79" t="n"/>
      <c r="H571" s="79" t="n"/>
      <c r="I571" s="28" t="n">
        <v>3</v>
      </c>
      <c r="J571" s="62" t="inlineStr">
        <is>
          <t>Notulen/BA Sosialisasi</t>
        </is>
      </c>
      <c r="K571" s="78" t="inlineStr"/>
      <c r="L571" s="29" t="n"/>
      <c r="M571" s="10" t="n"/>
      <c r="N571" s="29" t="n"/>
      <c r="O571" s="29" t="n"/>
      <c r="P571" s="29" t="n"/>
      <c r="Q571" s="10" t="n"/>
      <c r="R571" s="30">
        <f>IF(OR(L571="",L571="N/A"),"",IF(L571="Tidak Ada",0,IF(P571="","",IF(P571="Tidak Sesuai",0,IF(AND(N571="Ya",O571="Ya",P571="Sesuai"),1,0.5)))))</f>
        <v/>
      </c>
      <c r="S571" s="30">
        <f>IF(L571="N/A","N/A",IF(R571="","Belum dinilai",IF(R571=1,"Memenuhi",IF(R571=0,"Tidak Memenuhi","Memenuhi Sebagian"))))</f>
        <v/>
      </c>
      <c r="T571" s="31" t="inlineStr">
        <is>
          <t>4.1-3</t>
        </is>
      </c>
      <c r="U571" s="79" t="n"/>
    </row>
    <row r="572" ht="39" customHeight="1">
      <c r="A572" s="77" t="n"/>
      <c r="B572" s="77" t="n"/>
      <c r="C572" s="77" t="n"/>
      <c r="D572" s="77" t="n"/>
      <c r="E572" s="34" t="inlineStr">
        <is>
          <t>D</t>
        </is>
      </c>
      <c r="F572" s="62" t="inlineStr">
        <is>
          <t>D – Komunikasi &amp; Pemahaman</t>
        </is>
      </c>
      <c r="G572" s="62" t="inlineStr">
        <is>
          <t>Strategi dan kebijakan manajemen risiko telah dikomunikasikan pada seluruh pegawai pada tingkat operasional unit kerja</t>
        </is>
      </c>
      <c r="H572" s="62" t="inlineStr">
        <is>
          <t>Strategi dan kebijakan manajemen risiko telah dikomunikasikan pada seluruh pegawai pada tingkat operasional unit kerja</t>
        </is>
      </c>
      <c r="I572" s="28" t="n">
        <v>1</v>
      </c>
      <c r="J572" s="62" t="inlineStr">
        <is>
          <t>Daftar Hadir Sosialisasi Strategi dan Kebijakan Manajemen Risiko Tingkat Operasional</t>
        </is>
      </c>
      <c r="K572" s="78" t="inlineStr"/>
      <c r="L572" s="29" t="n"/>
      <c r="M572" s="10" t="n"/>
      <c r="N572" s="29" t="n"/>
      <c r="O572" s="29" t="n"/>
      <c r="P572" s="29" t="n"/>
      <c r="Q572" s="10" t="n"/>
      <c r="R572" s="30">
        <f>IF(OR(L572="",L572="N/A"),"",IF(L572="Tidak Ada",0,IF(P572="","",IF(P572="Tidak Sesuai",0,IF(AND(N572="Ya",O572="Ya",P572="Sesuai"),1,0.5)))))</f>
        <v/>
      </c>
      <c r="S572" s="30">
        <f>IF(L572="N/A","N/A",IF(R572="","Belum dinilai",IF(R572=1,"Memenuhi",IF(R572=0,"Tidak Memenuhi","Memenuhi Sebagian"))))</f>
        <v/>
      </c>
      <c r="T572" s="31" t="inlineStr">
        <is>
          <t>4.1-3</t>
        </is>
      </c>
      <c r="U572" s="63">
        <f>IF(COUNT(R572:R573)=0,"",SUM(R572:R573)/COUNT(R572:R573))</f>
        <v/>
      </c>
    </row>
    <row r="573" ht="39" customHeight="1">
      <c r="A573" s="77" t="n"/>
      <c r="B573" s="77" t="n"/>
      <c r="C573" s="77" t="n"/>
      <c r="D573" s="77" t="n"/>
      <c r="E573" s="34" t="inlineStr">
        <is>
          <t>D</t>
        </is>
      </c>
      <c r="F573" s="79" t="n"/>
      <c r="G573" s="79" t="n"/>
      <c r="H573" s="79" t="n"/>
      <c r="I573" s="28" t="n">
        <v>2</v>
      </c>
      <c r="J573" s="62" t="inlineStr">
        <is>
          <t>Materi Sosialisasi</t>
        </is>
      </c>
      <c r="K573" s="78" t="inlineStr"/>
      <c r="L573" s="29" t="n"/>
      <c r="M573" s="10" t="n"/>
      <c r="N573" s="29" t="n"/>
      <c r="O573" s="29" t="n"/>
      <c r="P573" s="29" t="n"/>
      <c r="Q573" s="10" t="n"/>
      <c r="R573" s="30">
        <f>IF(OR(L573="",L573="N/A"),"",IF(L573="Tidak Ada",0,IF(P573="","",IF(P573="Tidak Sesuai",0,IF(AND(N573="Ya",O573="Ya",P573="Sesuai"),1,0.5)))))</f>
        <v/>
      </c>
      <c r="S573" s="30">
        <f>IF(L573="N/A","N/A",IF(R573="","Belum dinilai",IF(R573=1,"Memenuhi",IF(R573=0,"Tidak Memenuhi","Memenuhi Sebagian"))))</f>
        <v/>
      </c>
      <c r="T573" s="31" t="inlineStr">
        <is>
          <t>4.1-3</t>
        </is>
      </c>
      <c r="U573" s="79" t="n"/>
    </row>
    <row r="574" ht="51" customHeight="1">
      <c r="A574" s="77" t="n"/>
      <c r="B574" s="77" t="n"/>
      <c r="C574" s="77" t="n"/>
      <c r="D574" s="77" t="n"/>
      <c r="E574" s="35" t="inlineStr">
        <is>
          <t>E</t>
        </is>
      </c>
      <c r="F574" s="62" t="inlineStr">
        <is>
          <t>E – Kebijakan/Formalitas</t>
        </is>
      </c>
      <c r="G574" s="62" t="inlineStr">
        <is>
          <t>Strategi dan kebijakan manajemen risiko telah dikomunikasikan pada sebagian pegawai pada tingkat operasional unit kerja</t>
        </is>
      </c>
      <c r="H574" s="62" t="inlineStr">
        <is>
          <t>Organisasi telah memiliki/menetapkan strategi dan kebijakan manajemen risiko telah dikomunikasikan pada sebagian pegawai pada tingkat operasional unit kerja</t>
        </is>
      </c>
      <c r="I574" s="28" t="n">
        <v>1</v>
      </c>
      <c r="J574" s="62" t="inlineStr">
        <is>
          <t>Daftar Hadir Sosialisasi Strategi dan Kebijakan Manajemen Risiko</t>
        </is>
      </c>
      <c r="K574" s="78" t="inlineStr"/>
      <c r="L574" s="29" t="inlineStr">
        <is>
          <t>Tidak Ada</t>
        </is>
      </c>
      <c r="M574" s="10" t="n"/>
      <c r="N574" s="29" t="inlineStr">
        <is>
          <t>Tidak</t>
        </is>
      </c>
      <c r="O574" s="29" t="inlineStr">
        <is>
          <t>Tidak</t>
        </is>
      </c>
      <c r="P574" s="29" t="inlineStr">
        <is>
          <t>Tidak Sesuai</t>
        </is>
      </c>
      <c r="Q574" s="66" t="inlineStr">
        <is>
          <t>belum dilaksanakan</t>
        </is>
      </c>
      <c r="R574" s="30">
        <f>IF(OR(L574="",L574="N/A"),"",IF(L574="Tidak Ada",0,IF(P574="","",IF(P574="Tidak Sesuai",0,IF(AND(N574="Ya",O574="Ya",P574="Sesuai"),1,0.5)))))</f>
        <v/>
      </c>
      <c r="S574" s="30">
        <f>IF(L574="N/A","N/A",IF(R574="","Belum dinilai",IF(R574=1,"Memenuhi",IF(R574=0,"Tidak Memenuhi","Memenuhi Sebagian"))))</f>
        <v/>
      </c>
      <c r="T574" s="31" t="inlineStr">
        <is>
          <t>4.1-3</t>
        </is>
      </c>
      <c r="U574" s="63">
        <f>IF(COUNT(R574:R575)=0,"",SUM(R574:R575)/COUNT(R574:R575))</f>
        <v/>
      </c>
    </row>
    <row r="575" ht="51" customHeight="1">
      <c r="A575" s="79" t="n"/>
      <c r="B575" s="79" t="n"/>
      <c r="C575" s="79" t="n"/>
      <c r="D575" s="79" t="n"/>
      <c r="E575" s="35" t="inlineStr">
        <is>
          <t>E</t>
        </is>
      </c>
      <c r="F575" s="79" t="n"/>
      <c r="G575" s="79" t="n"/>
      <c r="H575" s="79" t="n"/>
      <c r="I575" s="28" t="n">
        <v>2</v>
      </c>
      <c r="J575" s="62" t="inlineStr">
        <is>
          <t>Materi Sosialisasi</t>
        </is>
      </c>
      <c r="K575" s="78" t="inlineStr"/>
      <c r="L575" s="29" t="n"/>
      <c r="M575" s="10" t="n"/>
      <c r="N575" s="29" t="n"/>
      <c r="O575" s="29" t="n"/>
      <c r="P575" s="29" t="n"/>
      <c r="Q575" s="10" t="n"/>
      <c r="R575" s="30">
        <f>IF(OR(L575="",L575="N/A"),"",IF(L575="Tidak Ada",0,IF(P575="","",IF(P575="Tidak Sesuai",0,IF(AND(N575="Ya",O575="Ya",P575="Sesuai"),1,0.5)))))</f>
        <v/>
      </c>
      <c r="S575" s="30">
        <f>IF(L575="N/A","N/A",IF(R575="","Belum dinilai",IF(R575=1,"Memenuhi",IF(R575=0,"Tidak Memenuhi","Memenuhi Sebagian"))))</f>
        <v/>
      </c>
      <c r="T575" s="31" t="inlineStr">
        <is>
          <t>4.1-3</t>
        </is>
      </c>
      <c r="U575" s="79" t="n"/>
    </row>
    <row r="576" ht="51" customHeight="1">
      <c r="A576" s="56" t="inlineStr">
        <is>
          <t>4.1</t>
        </is>
      </c>
      <c r="B576" s="57" t="inlineStr">
        <is>
          <t>Informasi yang Relevan</t>
        </is>
      </c>
      <c r="C576" s="58" t="n">
        <v>4</v>
      </c>
      <c r="D576" s="59" t="inlineStr">
        <is>
          <t>Register risiko dan rencana tindak pengendalian telah dikomunikasikan ke pihak terkait</t>
        </is>
      </c>
      <c r="E576" s="21" t="inlineStr">
        <is>
          <t>A</t>
        </is>
      </c>
      <c r="F576" s="60" t="inlineStr">
        <is>
          <t>A – Perbaikan Berkelanjutan</t>
        </is>
      </c>
      <c r="G576" s="60" t="inlineStr">
        <is>
          <t>Register risiko dan rencana tindak pengendalian tingkat operasional Unit Kerja/OPD, strategis Unit Kerja/OPD dan Strategis K/L/D telah dikomunikasikan kepada seluruh pihak terkait dan dijadikan bahan dalam pengambilan keputusan  serta menjadi bahan pembelajaran dan inovasi</t>
        </is>
      </c>
      <c r="H576" s="60" t="inlineStr">
        <is>
          <t>Register risiko dan rencana tindak pengendalian tingkat operasional Unit Kerja/OPD, strategis Unit Kerja/OPD dan Strategis K/L/D telah dikomunikasikan kepada seluruh pihak terkait dan dijadikan bahan dalam pengambilan keputusan serta menjadi bahan pembelajaran dan inovasi</t>
        </is>
      </c>
      <c r="I576" s="22" t="n">
        <v>1</v>
      </c>
      <c r="J576" s="60" t="inlineStr">
        <is>
          <t>Bukti Penyampaian Risk Register dan RTP</t>
        </is>
      </c>
      <c r="K576" s="76" t="inlineStr"/>
      <c r="L576" s="23" t="n"/>
      <c r="M576" s="24" t="n"/>
      <c r="N576" s="23" t="n"/>
      <c r="O576" s="23" t="n"/>
      <c r="P576" s="23" t="n"/>
      <c r="Q576" s="24" t="n"/>
      <c r="R576" s="25">
        <f>IF(OR(L576="",L576="N/A"),"",IF(L576="Tidak Ada",0,IF(P576="","",IF(P576="Tidak Sesuai",0,IF(AND(N576="Ya",O576="Ya",P576="Sesuai"),1,0.5)))))</f>
        <v/>
      </c>
      <c r="S576" s="25">
        <f>IF(L576="N/A","N/A",IF(R576="","Belum dinilai",IF(R576=1,"Memenuhi",IF(R576=0,"Tidak Memenuhi","Memenuhi Sebagian"))))</f>
        <v/>
      </c>
      <c r="T576" s="26" t="inlineStr">
        <is>
          <t>4.1-4</t>
        </is>
      </c>
      <c r="U576" s="61">
        <f>IF(COUNT(R576:R578)=0,"",SUM(R576:R578)/COUNT(R576:R578))</f>
        <v/>
      </c>
    </row>
    <row r="577" ht="51" customHeight="1">
      <c r="A577" s="77" t="n"/>
      <c r="B577" s="77" t="n"/>
      <c r="C577" s="77" t="n"/>
      <c r="D577" s="77" t="n"/>
      <c r="E577" s="27" t="inlineStr">
        <is>
          <t>A</t>
        </is>
      </c>
      <c r="F577" s="77" t="n"/>
      <c r="G577" s="77" t="n"/>
      <c r="H577" s="77" t="n"/>
      <c r="I577" s="28" t="n">
        <v>2</v>
      </c>
      <c r="J577" s="62" t="inlineStr">
        <is>
          <t>Notulen Rapat Pengambilan Keputusan yang Menggunakan Hasil MR</t>
        </is>
      </c>
      <c r="K577" s="78" t="inlineStr"/>
      <c r="L577" s="29" t="n"/>
      <c r="M577" s="10" t="n"/>
      <c r="N577" s="29" t="n"/>
      <c r="O577" s="29" t="n"/>
      <c r="P577" s="29" t="n"/>
      <c r="Q577" s="10" t="n"/>
      <c r="R577" s="30">
        <f>IF(OR(L577="",L577="N/A"),"",IF(L577="Tidak Ada",0,IF(P577="","",IF(P577="Tidak Sesuai",0,IF(AND(N577="Ya",O577="Ya",P577="Sesuai"),1,0.5)))))</f>
        <v/>
      </c>
      <c r="S577" s="30">
        <f>IF(L577="N/A","N/A",IF(R577="","Belum dinilai",IF(R577=1,"Memenuhi",IF(R577=0,"Tidak Memenuhi","Memenuhi Sebagian"))))</f>
        <v/>
      </c>
      <c r="T577" s="31" t="inlineStr">
        <is>
          <t>4.1-4</t>
        </is>
      </c>
      <c r="U577" s="77" t="n"/>
    </row>
    <row r="578" ht="51" customHeight="1">
      <c r="A578" s="77" t="n"/>
      <c r="B578" s="77" t="n"/>
      <c r="C578" s="77" t="n"/>
      <c r="D578" s="77" t="n"/>
      <c r="E578" s="27" t="inlineStr">
        <is>
          <t>A</t>
        </is>
      </c>
      <c r="F578" s="79" t="n"/>
      <c r="G578" s="79" t="n"/>
      <c r="H578" s="79" t="n"/>
      <c r="I578" s="28" t="n">
        <v>3</v>
      </c>
      <c r="J578" s="62" t="inlineStr">
        <is>
          <t>Dokumen Pembelajaran/Inovasi</t>
        </is>
      </c>
      <c r="K578" s="78" t="inlineStr"/>
      <c r="L578" s="29" t="n"/>
      <c r="M578" s="10" t="n"/>
      <c r="N578" s="29" t="n"/>
      <c r="O578" s="29" t="n"/>
      <c r="P578" s="29" t="n"/>
      <c r="Q578" s="10" t="n"/>
      <c r="R578" s="30">
        <f>IF(OR(L578="",L578="N/A"),"",IF(L578="Tidak Ada",0,IF(P578="","",IF(P578="Tidak Sesuai",0,IF(AND(N578="Ya",O578="Ya",P578="Sesuai"),1,0.5)))))</f>
        <v/>
      </c>
      <c r="S578" s="30">
        <f>IF(L578="N/A","N/A",IF(R578="","Belum dinilai",IF(R578=1,"Memenuhi",IF(R578=0,"Tidak Memenuhi","Memenuhi Sebagian"))))</f>
        <v/>
      </c>
      <c r="T578" s="31" t="inlineStr">
        <is>
          <t>4.1-4</t>
        </is>
      </c>
      <c r="U578" s="79" t="n"/>
    </row>
    <row r="579" ht="63" customHeight="1">
      <c r="A579" s="77" t="n"/>
      <c r="B579" s="77" t="n"/>
      <c r="C579" s="77" t="n"/>
      <c r="D579" s="77" t="n"/>
      <c r="E579" s="32" t="inlineStr">
        <is>
          <t>B</t>
        </is>
      </c>
      <c r="F579" s="62" t="inlineStr">
        <is>
          <t>B – Evaluasi &amp; Tindak Lanjut</t>
        </is>
      </c>
      <c r="G579" s="62" t="inlineStr">
        <is>
          <t>Register risiko dan rencana tindak pengendalian tingkat operasional Unit Kerja/OPD, strategis Unit Kerja/OPD dan Strategis K/L/D telah dikomunikasikan kepada seluruh pihak terkait dan dijadikan bahan dalam pengambilan keputusan</t>
        </is>
      </c>
      <c r="H579" s="62" t="inlineStr">
        <is>
          <t>Register risiko dan rencana tindak pengendalian tingkat operasional Unit Kerja/OPD, strategis Unit Kerja/OPD dan Strategis K/L/D telah dikomunikasikan kepada seluruh pihak terkait dan dijadikan bahan dalam pengambilan keputusan</t>
        </is>
      </c>
      <c r="I579" s="28" t="n">
        <v>1</v>
      </c>
      <c r="J579" s="62" t="inlineStr">
        <is>
          <t>Bukti Penyampaian Risk Register dan RTP</t>
        </is>
      </c>
      <c r="K579" s="78" t="inlineStr"/>
      <c r="L579" s="29" t="n"/>
      <c r="M579" s="10" t="n"/>
      <c r="N579" s="29" t="n"/>
      <c r="O579" s="29" t="n"/>
      <c r="P579" s="29" t="n"/>
      <c r="Q579" s="10" t="n"/>
      <c r="R579" s="30">
        <f>IF(OR(L579="",L579="N/A"),"",IF(L579="Tidak Ada",0,IF(P579="","",IF(P579="Tidak Sesuai",0,IF(AND(N579="Ya",O579="Ya",P579="Sesuai"),1,0.5)))))</f>
        <v/>
      </c>
      <c r="S579" s="30">
        <f>IF(L579="N/A","N/A",IF(R579="","Belum dinilai",IF(R579=1,"Memenuhi",IF(R579=0,"Tidak Memenuhi","Memenuhi Sebagian"))))</f>
        <v/>
      </c>
      <c r="T579" s="31" t="inlineStr">
        <is>
          <t>4.1-4</t>
        </is>
      </c>
      <c r="U579" s="63">
        <f>IF(COUNT(R579:R580)=0,"",SUM(R579:R580)/COUNT(R579:R580))</f>
        <v/>
      </c>
    </row>
    <row r="580" ht="63" customHeight="1">
      <c r="A580" s="77" t="n"/>
      <c r="B580" s="77" t="n"/>
      <c r="C580" s="77" t="n"/>
      <c r="D580" s="77" t="n"/>
      <c r="E580" s="32" t="inlineStr">
        <is>
          <t>B</t>
        </is>
      </c>
      <c r="F580" s="79" t="n"/>
      <c r="G580" s="79" t="n"/>
      <c r="H580" s="79" t="n"/>
      <c r="I580" s="28" t="n">
        <v>2</v>
      </c>
      <c r="J580" s="62" t="inlineStr">
        <is>
          <t>Telaahan Staf/Notulen Rapat yang Mempertimbangkan Hasil MR</t>
        </is>
      </c>
      <c r="K580" s="78" t="inlineStr"/>
      <c r="L580" s="29" t="n"/>
      <c r="M580" s="10" t="n"/>
      <c r="N580" s="29" t="n"/>
      <c r="O580" s="29" t="n"/>
      <c r="P580" s="29" t="n"/>
      <c r="Q580" s="10" t="n"/>
      <c r="R580" s="30">
        <f>IF(OR(L580="",L580="N/A"),"",IF(L580="Tidak Ada",0,IF(P580="","",IF(P580="Tidak Sesuai",0,IF(AND(N580="Ya",O580="Ya",P580="Sesuai"),1,0.5)))))</f>
        <v/>
      </c>
      <c r="S580" s="30">
        <f>IF(L580="N/A","N/A",IF(R580="","Belum dinilai",IF(R580=1,"Memenuhi",IF(R580=0,"Tidak Memenuhi","Memenuhi Sebagian"))))</f>
        <v/>
      </c>
      <c r="T580" s="31" t="inlineStr">
        <is>
          <t>4.1-4</t>
        </is>
      </c>
      <c r="U580" s="79" t="n"/>
    </row>
    <row r="581" ht="51" customHeight="1">
      <c r="A581" s="77" t="n"/>
      <c r="B581" s="77" t="n"/>
      <c r="C581" s="77" t="n"/>
      <c r="D581" s="77" t="n"/>
      <c r="E581" s="33" t="inlineStr">
        <is>
          <t>C</t>
        </is>
      </c>
      <c r="F581" s="62" t="inlineStr">
        <is>
          <t>C – Implementasi</t>
        </is>
      </c>
      <c r="G581" s="62" t="inlineStr">
        <is>
          <t>Register risiko dan rencana tindak pengendalian operasional Unit Kerja/OPD, strategis Unit Kerja/OPD dan Strategis K/L/D telah dikomunikasikan kepada seluruh pihak terkait</t>
        </is>
      </c>
      <c r="H581" s="62" t="inlineStr">
        <is>
          <t>Register risiko dan rencana tindak pengendalian operasional Unit Kerja/OPD, strategis Unit Kerja/OPD dan Strategis K/L/D telah dikomunikasikan kepada seluruh pihak terkait</t>
        </is>
      </c>
      <c r="I581" s="28" t="n">
        <v>1</v>
      </c>
      <c r="J581" s="62" t="inlineStr">
        <is>
          <t>Bukti Penyampaian Risk Register dan RTP</t>
        </is>
      </c>
      <c r="K581" s="78" t="inlineStr"/>
      <c r="L581" s="29" t="inlineStr">
        <is>
          <t>Ada</t>
        </is>
      </c>
      <c r="M581" s="66" t="inlineStr">
        <is>
          <t>penyampaian kepada Satgas Inspektorat</t>
        </is>
      </c>
      <c r="N581" s="29" t="inlineStr">
        <is>
          <t>Ya</t>
        </is>
      </c>
      <c r="O581" s="29" t="inlineStr">
        <is>
          <t>Ya</t>
        </is>
      </c>
      <c r="P581" s="29" t="inlineStr">
        <is>
          <t>Sebagian</t>
        </is>
      </c>
      <c r="Q581" s="10" t="n"/>
      <c r="R581" s="30">
        <f>IF(OR(L581="",L581="N/A"),"",IF(L581="Tidak Ada",0,IF(P581="","",IF(P581="Tidak Sesuai",0,IF(AND(N581="Ya",O581="Ya",P581="Sesuai"),1,0.5)))))</f>
        <v/>
      </c>
      <c r="S581" s="30">
        <f>IF(L581="N/A","N/A",IF(R581="","Belum dinilai",IF(R581=1,"Memenuhi",IF(R581=0,"Tidak Memenuhi","Memenuhi Sebagian"))))</f>
        <v/>
      </c>
      <c r="T581" s="31" t="inlineStr">
        <is>
          <t>4.1-4</t>
        </is>
      </c>
      <c r="U581" s="63">
        <f>IF(COUNT(R581:R582)=0,"",SUM(R581:R582)/COUNT(R581:R582))</f>
        <v/>
      </c>
    </row>
    <row r="582" ht="51" customHeight="1">
      <c r="A582" s="77" t="n"/>
      <c r="B582" s="77" t="n"/>
      <c r="C582" s="77" t="n"/>
      <c r="D582" s="77" t="n"/>
      <c r="E582" s="33" t="inlineStr">
        <is>
          <t>C</t>
        </is>
      </c>
      <c r="F582" s="79" t="n"/>
      <c r="G582" s="79" t="n"/>
      <c r="H582" s="79" t="n"/>
      <c r="I582" s="28" t="n">
        <v>2</v>
      </c>
      <c r="J582" s="62" t="inlineStr">
        <is>
          <t>Notulen/BA Sosialisasi atau Rapat Koordinasi</t>
        </is>
      </c>
      <c r="K582" s="78" t="inlineStr"/>
      <c r="L582" s="29" t="n"/>
      <c r="M582" s="10" t="n"/>
      <c r="N582" s="29" t="n"/>
      <c r="O582" s="29" t="n"/>
      <c r="P582" s="29" t="n"/>
      <c r="Q582" s="10" t="n"/>
      <c r="R582" s="30">
        <f>IF(OR(L582="",L582="N/A"),"",IF(L582="Tidak Ada",0,IF(P582="","",IF(P582="Tidak Sesuai",0,IF(AND(N582="Ya",O582="Ya",P582="Sesuai"),1,0.5)))))</f>
        <v/>
      </c>
      <c r="S582" s="30">
        <f>IF(L582="N/A","N/A",IF(R582="","Belum dinilai",IF(R582=1,"Memenuhi",IF(R582=0,"Tidak Memenuhi","Memenuhi Sebagian"))))</f>
        <v/>
      </c>
      <c r="T582" s="31" t="inlineStr">
        <is>
          <t>4.1-4</t>
        </is>
      </c>
      <c r="U582" s="79" t="n"/>
    </row>
    <row r="583" ht="51" customHeight="1">
      <c r="A583" s="77" t="n"/>
      <c r="B583" s="77" t="n"/>
      <c r="C583" s="77" t="n"/>
      <c r="D583" s="77" t="n"/>
      <c r="E583" s="34" t="inlineStr">
        <is>
          <t>D</t>
        </is>
      </c>
      <c r="F583" s="62" t="inlineStr">
        <is>
          <t>D – Komunikasi &amp; Pemahaman</t>
        </is>
      </c>
      <c r="G583" s="62" t="inlineStr">
        <is>
          <t>Register risiko dan rencana tindak pengendalian tingkat operasional unit kerja/OPD dan strategis unit kerja/OPD telah dikomunikasikan kepada seluruh pihak terkait</t>
        </is>
      </c>
      <c r="H583" s="62" t="inlineStr">
        <is>
          <t>Register risiko dan rencana tindak pengendalian tingkat operasional unit kerja/OPD dan strategis unit kerja/OPD telah dikomunikasikan kepada seluruh pihak terkait</t>
        </is>
      </c>
      <c r="I583" s="28" t="n">
        <v>1</v>
      </c>
      <c r="J583" s="62" t="inlineStr">
        <is>
          <t>Bukti Penyampaian Risk Register dan RTP Tingkat Operasional dan Strategis Unit Kerja</t>
        </is>
      </c>
      <c r="K583" s="78" t="inlineStr"/>
      <c r="L583" s="29" t="n"/>
      <c r="M583" s="10" t="n"/>
      <c r="N583" s="29" t="n"/>
      <c r="O583" s="29" t="n"/>
      <c r="P583" s="29" t="n"/>
      <c r="Q583" s="10" t="n"/>
      <c r="R583" s="30">
        <f>IF(OR(L583="",L583="N/A"),"",IF(L583="Tidak Ada",0,IF(P583="","",IF(P583="Tidak Sesuai",0,IF(AND(N583="Ya",O583="Ya",P583="Sesuai"),1,0.5)))))</f>
        <v/>
      </c>
      <c r="S583" s="30">
        <f>IF(L583="N/A","N/A",IF(R583="","Belum dinilai",IF(R583=1,"Memenuhi",IF(R583=0,"Tidak Memenuhi","Memenuhi Sebagian"))))</f>
        <v/>
      </c>
      <c r="T583" s="31" t="inlineStr">
        <is>
          <t>4.1-4</t>
        </is>
      </c>
      <c r="U583" s="63">
        <f>IF(COUNT(R583:R584)=0,"",SUM(R583:R584)/COUNT(R583:R584))</f>
        <v/>
      </c>
    </row>
    <row r="584" ht="51" customHeight="1">
      <c r="A584" s="77" t="n"/>
      <c r="B584" s="77" t="n"/>
      <c r="C584" s="77" t="n"/>
      <c r="D584" s="77" t="n"/>
      <c r="E584" s="34" t="inlineStr">
        <is>
          <t>D</t>
        </is>
      </c>
      <c r="F584" s="79" t="n"/>
      <c r="G584" s="79" t="n"/>
      <c r="H584" s="79" t="n"/>
      <c r="I584" s="28" t="n">
        <v>2</v>
      </c>
      <c r="J584" s="62" t="inlineStr">
        <is>
          <t>Daftar Hadir/Notulen</t>
        </is>
      </c>
      <c r="K584" s="78" t="inlineStr"/>
      <c r="L584" s="29" t="n"/>
      <c r="M584" s="10" t="n"/>
      <c r="N584" s="29" t="n"/>
      <c r="O584" s="29" t="n"/>
      <c r="P584" s="29" t="n"/>
      <c r="Q584" s="10" t="n"/>
      <c r="R584" s="30">
        <f>IF(OR(L584="",L584="N/A"),"",IF(L584="Tidak Ada",0,IF(P584="","",IF(P584="Tidak Sesuai",0,IF(AND(N584="Ya",O584="Ya",P584="Sesuai"),1,0.5)))))</f>
        <v/>
      </c>
      <c r="S584" s="30">
        <f>IF(L584="N/A","N/A",IF(R584="","Belum dinilai",IF(R584=1,"Memenuhi",IF(R584=0,"Tidak Memenuhi","Memenuhi Sebagian"))))</f>
        <v/>
      </c>
      <c r="T584" s="31" t="inlineStr">
        <is>
          <t>4.1-4</t>
        </is>
      </c>
      <c r="U584" s="79" t="n"/>
    </row>
    <row r="585" ht="51" customHeight="1">
      <c r="A585" s="77" t="n"/>
      <c r="B585" s="77" t="n"/>
      <c r="C585" s="77" t="n"/>
      <c r="D585" s="77" t="n"/>
      <c r="E585" s="35" t="inlineStr">
        <is>
          <t>E</t>
        </is>
      </c>
      <c r="F585" s="62" t="inlineStr">
        <is>
          <t>E – Kebijakan/Formalitas</t>
        </is>
      </c>
      <c r="G585" s="62" t="inlineStr">
        <is>
          <t>Register risiko dan rencana tindak pengendalian tingkat operasional unit kerja telah dikomunikasikan kepada sebagian pihak terkait</t>
        </is>
      </c>
      <c r="H585" s="62" t="inlineStr">
        <is>
          <t>Organisasi telah memiliki/menetapkan register risiko dan rencana tindak pengendalian tingkat operasional unit kerja telah dikomunikasikan kepada sebagian pihak terkait</t>
        </is>
      </c>
      <c r="I585" s="28" t="n">
        <v>1</v>
      </c>
      <c r="J585" s="62" t="inlineStr">
        <is>
          <t>Bukti Penyampaian Risk Register dan RTP Tingkat Operasional</t>
        </is>
      </c>
      <c r="K585" s="78" t="inlineStr"/>
      <c r="L585" s="29" t="n"/>
      <c r="M585" s="10" t="n"/>
      <c r="N585" s="29" t="n"/>
      <c r="O585" s="29" t="n"/>
      <c r="P585" s="29" t="n"/>
      <c r="Q585" s="10" t="n"/>
      <c r="R585" s="30">
        <f>IF(OR(L585="",L585="N/A"),"",IF(L585="Tidak Ada",0,IF(P585="","",IF(P585="Tidak Sesuai",0,IF(AND(N585="Ya",O585="Ya",P585="Sesuai"),1,0.5)))))</f>
        <v/>
      </c>
      <c r="S585" s="30">
        <f>IF(L585="N/A","N/A",IF(R585="","Belum dinilai",IF(R585=1,"Memenuhi",IF(R585=0,"Tidak Memenuhi","Memenuhi Sebagian"))))</f>
        <v/>
      </c>
      <c r="T585" s="31" t="inlineStr">
        <is>
          <t>4.1-4</t>
        </is>
      </c>
      <c r="U585" s="63">
        <f>IF(COUNT(R585:R586)=0,"",SUM(R585:R586)/COUNT(R585:R586))</f>
        <v/>
      </c>
    </row>
    <row r="586" ht="51" customHeight="1">
      <c r="A586" s="79" t="n"/>
      <c r="B586" s="79" t="n"/>
      <c r="C586" s="79" t="n"/>
      <c r="D586" s="79" t="n"/>
      <c r="E586" s="35" t="inlineStr">
        <is>
          <t>E</t>
        </is>
      </c>
      <c r="F586" s="79" t="n"/>
      <c r="G586" s="79" t="n"/>
      <c r="H586" s="79" t="n"/>
      <c r="I586" s="28" t="n">
        <v>2</v>
      </c>
      <c r="J586" s="62" t="inlineStr">
        <is>
          <t>Daftar Hadir/Notulen</t>
        </is>
      </c>
      <c r="K586" s="78" t="inlineStr"/>
      <c r="L586" s="29" t="n"/>
      <c r="M586" s="10" t="n"/>
      <c r="N586" s="29" t="n"/>
      <c r="O586" s="29" t="n"/>
      <c r="P586" s="29" t="n"/>
      <c r="Q586" s="10" t="n"/>
      <c r="R586" s="30">
        <f>IF(OR(L586="",L586="N/A"),"",IF(L586="Tidak Ada",0,IF(P586="","",IF(P586="Tidak Sesuai",0,IF(AND(N586="Ya",O586="Ya",P586="Sesuai"),1,0.5)))))</f>
        <v/>
      </c>
      <c r="S586" s="30">
        <f>IF(L586="N/A","N/A",IF(R586="","Belum dinilai",IF(R586=1,"Memenuhi",IF(R586=0,"Tidak Memenuhi","Memenuhi Sebagian"))))</f>
        <v/>
      </c>
      <c r="T586" s="31" t="inlineStr">
        <is>
          <t>4.1-4</t>
        </is>
      </c>
      <c r="U586" s="79" t="n"/>
    </row>
    <row r="587" ht="27" customHeight="1">
      <c r="A587" s="56" t="inlineStr">
        <is>
          <t>4.2</t>
        </is>
      </c>
      <c r="B587" s="57" t="inlineStr">
        <is>
          <t>Komunikasi yang Efektif</t>
        </is>
      </c>
      <c r="C587" s="58" t="n">
        <v>1</v>
      </c>
      <c r="D587" s="59" t="inlineStr">
        <is>
          <t>Terlaksananya komunikasi yang efektif dengan internal dan eksternal</t>
        </is>
      </c>
      <c r="E587" s="21" t="inlineStr">
        <is>
          <t>A</t>
        </is>
      </c>
      <c r="F587" s="60" t="inlineStr">
        <is>
          <t>A – Perbaikan Berkelanjutan</t>
        </is>
      </c>
      <c r="G587" s="60" t="inlineStr">
        <is>
          <t>Perbaikan berkelanjutan atas metodologi komunikasi yang efektif</t>
        </is>
      </c>
      <c r="H587" s="60" t="inlineStr">
        <is>
          <t>Perbaikan berkelanjutan atas metodologi komunikasi yang efektif</t>
        </is>
      </c>
      <c r="I587" s="22" t="n">
        <v>1</v>
      </c>
      <c r="J587" s="60" t="inlineStr">
        <is>
          <t>Laporan Evaluasi Metodologi Komunikasi</t>
        </is>
      </c>
      <c r="K587" s="76" t="inlineStr"/>
      <c r="L587" s="23" t="n"/>
      <c r="M587" s="24" t="n"/>
      <c r="N587" s="23" t="n"/>
      <c r="O587" s="23" t="n"/>
      <c r="P587" s="23" t="n"/>
      <c r="Q587" s="24" t="n"/>
      <c r="R587" s="25">
        <f>IF(OR(L587="",L587="N/A"),"",IF(L587="Tidak Ada",0,IF(P587="","",IF(P587="Tidak Sesuai",0,IF(AND(N587="Ya",O587="Ya",P587="Sesuai"),1,0.5)))))</f>
        <v/>
      </c>
      <c r="S587" s="25">
        <f>IF(L587="N/A","N/A",IF(R587="","Belum dinilai",IF(R587=1,"Memenuhi",IF(R587=0,"Tidak Memenuhi","Memenuhi Sebagian"))))</f>
        <v/>
      </c>
      <c r="T587" s="26" t="inlineStr">
        <is>
          <t>4.2-1</t>
        </is>
      </c>
      <c r="U587" s="61">
        <f>IF(COUNT(R587:R589)=0,"",SUM(R587:R589)/COUNT(R587:R589))</f>
        <v/>
      </c>
    </row>
    <row r="588" ht="27" customHeight="1">
      <c r="A588" s="77" t="n"/>
      <c r="B588" s="77" t="n"/>
      <c r="C588" s="77" t="n"/>
      <c r="D588" s="77" t="n"/>
      <c r="E588" s="27" t="inlineStr">
        <is>
          <t>A</t>
        </is>
      </c>
      <c r="F588" s="77" t="n"/>
      <c r="G588" s="77" t="n"/>
      <c r="H588" s="77" t="n"/>
      <c r="I588" s="28" t="n">
        <v>2</v>
      </c>
      <c r="J588" s="62" t="inlineStr">
        <is>
          <t>Dokumen Perbaikan/Pemutakhiran Strategi Komunikasi</t>
        </is>
      </c>
      <c r="K588" s="78" t="inlineStr"/>
      <c r="L588" s="29" t="n"/>
      <c r="M588" s="10" t="n"/>
      <c r="N588" s="29" t="n"/>
      <c r="O588" s="29" t="n"/>
      <c r="P588" s="29" t="n"/>
      <c r="Q588" s="10" t="n"/>
      <c r="R588" s="30">
        <f>IF(OR(L588="",L588="N/A"),"",IF(L588="Tidak Ada",0,IF(P588="","",IF(P588="Tidak Sesuai",0,IF(AND(N588="Ya",O588="Ya",P588="Sesuai"),1,0.5)))))</f>
        <v/>
      </c>
      <c r="S588" s="30">
        <f>IF(L588="N/A","N/A",IF(R588="","Belum dinilai",IF(R588=1,"Memenuhi",IF(R588=0,"Tidak Memenuhi","Memenuhi Sebagian"))))</f>
        <v/>
      </c>
      <c r="T588" s="31" t="inlineStr">
        <is>
          <t>4.2-1</t>
        </is>
      </c>
      <c r="U588" s="77" t="n"/>
    </row>
    <row r="589" ht="15" customHeight="1">
      <c r="A589" s="77" t="n"/>
      <c r="B589" s="77" t="n"/>
      <c r="C589" s="77" t="n"/>
      <c r="D589" s="77" t="n"/>
      <c r="E589" s="27" t="inlineStr">
        <is>
          <t>A</t>
        </is>
      </c>
      <c r="F589" s="79" t="n"/>
      <c r="G589" s="79" t="n"/>
      <c r="H589" s="79" t="n"/>
      <c r="I589" s="28" t="n">
        <v>3</v>
      </c>
      <c r="J589" s="62" t="inlineStr">
        <is>
          <t>Bukti Implementasi Perbaikan</t>
        </is>
      </c>
      <c r="K589" s="78" t="inlineStr"/>
      <c r="L589" s="29" t="n"/>
      <c r="M589" s="10" t="n"/>
      <c r="N589" s="29" t="n"/>
      <c r="O589" s="29" t="n"/>
      <c r="P589" s="29" t="n"/>
      <c r="Q589" s="10" t="n"/>
      <c r="R589" s="30">
        <f>IF(OR(L589="",L589="N/A"),"",IF(L589="Tidak Ada",0,IF(P589="","",IF(P589="Tidak Sesuai",0,IF(AND(N589="Ya",O589="Ya",P589="Sesuai"),1,0.5)))))</f>
        <v/>
      </c>
      <c r="S589" s="30">
        <f>IF(L589="N/A","N/A",IF(R589="","Belum dinilai",IF(R589=1,"Memenuhi",IF(R589=0,"Tidak Memenuhi","Memenuhi Sebagian"))))</f>
        <v/>
      </c>
      <c r="T589" s="31" t="inlineStr">
        <is>
          <t>4.2-1</t>
        </is>
      </c>
      <c r="U589" s="79" t="n"/>
    </row>
    <row r="590" ht="27" customHeight="1">
      <c r="A590" s="77" t="n"/>
      <c r="B590" s="77" t="n"/>
      <c r="C590" s="77" t="n"/>
      <c r="D590" s="77" t="n"/>
      <c r="E590" s="32" t="inlineStr">
        <is>
          <t>B</t>
        </is>
      </c>
      <c r="F590" s="62" t="inlineStr">
        <is>
          <t>B – Evaluasi &amp; Tindak Lanjut</t>
        </is>
      </c>
      <c r="G590" s="62" t="inlineStr">
        <is>
          <t>Komunikasi yang efektif telah dilakukan kepada internal dan eksternal secara terstruktur dan berkala dan telah dievaluasi</t>
        </is>
      </c>
      <c r="H590" s="62" t="inlineStr">
        <is>
          <t>Komunikasi yang efektif telah dilakukan kepada internal dan eksternal secara terstruktur dan berkala dan telah dievaluasi</t>
        </is>
      </c>
      <c r="I590" s="28" t="n">
        <v>1</v>
      </c>
      <c r="J590" s="62" t="inlineStr">
        <is>
          <t>Laporan Evaluasi Komunikasi Internal dan Eksternal</t>
        </is>
      </c>
      <c r="K590" s="78" t="inlineStr"/>
      <c r="L590" s="29" t="n"/>
      <c r="M590" s="10" t="n"/>
      <c r="N590" s="29" t="n"/>
      <c r="O590" s="29" t="n"/>
      <c r="P590" s="29" t="n"/>
      <c r="Q590" s="10" t="n"/>
      <c r="R590" s="30">
        <f>IF(OR(L590="",L590="N/A"),"",IF(L590="Tidak Ada",0,IF(P590="","",IF(P590="Tidak Sesuai",0,IF(AND(N590="Ya",O590="Ya",P590="Sesuai"),1,0.5)))))</f>
        <v/>
      </c>
      <c r="S590" s="30">
        <f>IF(L590="N/A","N/A",IF(R590="","Belum dinilai",IF(R590=1,"Memenuhi",IF(R590=0,"Tidak Memenuhi","Memenuhi Sebagian"))))</f>
        <v/>
      </c>
      <c r="T590" s="31" t="inlineStr">
        <is>
          <t>4.2-1</t>
        </is>
      </c>
      <c r="U590" s="63">
        <f>IF(COUNT(R590:R592)=0,"",SUM(R590:R592)/COUNT(R590:R592))</f>
        <v/>
      </c>
    </row>
    <row r="591" ht="27" customHeight="1">
      <c r="A591" s="77" t="n"/>
      <c r="B591" s="77" t="n"/>
      <c r="C591" s="77" t="n"/>
      <c r="D591" s="77" t="n"/>
      <c r="E591" s="32" t="inlineStr">
        <is>
          <t>B</t>
        </is>
      </c>
      <c r="F591" s="77" t="n"/>
      <c r="G591" s="77" t="n"/>
      <c r="H591" s="77" t="n"/>
      <c r="I591" s="28" t="n">
        <v>2</v>
      </c>
      <c r="J591" s="62" t="inlineStr">
        <is>
          <t>Rencana Tindak Lanjut</t>
        </is>
      </c>
      <c r="K591" s="78" t="inlineStr"/>
      <c r="L591" s="29" t="n"/>
      <c r="M591" s="10" t="n"/>
      <c r="N591" s="29" t="n"/>
      <c r="O591" s="29" t="n"/>
      <c r="P591" s="29" t="n"/>
      <c r="Q591" s="10" t="n"/>
      <c r="R591" s="30">
        <f>IF(OR(L591="",L591="N/A"),"",IF(L591="Tidak Ada",0,IF(P591="","",IF(P591="Tidak Sesuai",0,IF(AND(N591="Ya",O591="Ya",P591="Sesuai"),1,0.5)))))</f>
        <v/>
      </c>
      <c r="S591" s="30">
        <f>IF(L591="N/A","N/A",IF(R591="","Belum dinilai",IF(R591=1,"Memenuhi",IF(R591=0,"Tidak Memenuhi","Memenuhi Sebagian"))))</f>
        <v/>
      </c>
      <c r="T591" s="31" t="inlineStr">
        <is>
          <t>4.2-1</t>
        </is>
      </c>
      <c r="U591" s="77" t="n"/>
    </row>
    <row r="592" ht="27" customHeight="1">
      <c r="A592" s="77" t="n"/>
      <c r="B592" s="77" t="n"/>
      <c r="C592" s="77" t="n"/>
      <c r="D592" s="77" t="n"/>
      <c r="E592" s="32" t="inlineStr">
        <is>
          <t>B</t>
        </is>
      </c>
      <c r="F592" s="79" t="n"/>
      <c r="G592" s="79" t="n"/>
      <c r="H592" s="79" t="n"/>
      <c r="I592" s="28" t="n">
        <v>3</v>
      </c>
      <c r="J592" s="62" t="inlineStr">
        <is>
          <t>Bukti Pelaksanaan Komunikasi Berkala</t>
        </is>
      </c>
      <c r="K592" s="78" t="inlineStr"/>
      <c r="L592" s="29" t="n"/>
      <c r="M592" s="10" t="n"/>
      <c r="N592" s="29" t="n"/>
      <c r="O592" s="29" t="n"/>
      <c r="P592" s="29" t="n"/>
      <c r="Q592" s="10" t="n"/>
      <c r="R592" s="30">
        <f>IF(OR(L592="",L592="N/A"),"",IF(L592="Tidak Ada",0,IF(P592="","",IF(P592="Tidak Sesuai",0,IF(AND(N592="Ya",O592="Ya",P592="Sesuai"),1,0.5)))))</f>
        <v/>
      </c>
      <c r="S592" s="30">
        <f>IF(L592="N/A","N/A",IF(R592="","Belum dinilai",IF(R592=1,"Memenuhi",IF(R592=0,"Tidak Memenuhi","Memenuhi Sebagian"))))</f>
        <v/>
      </c>
      <c r="T592" s="31" t="inlineStr">
        <is>
          <t>4.2-1</t>
        </is>
      </c>
      <c r="U592" s="79" t="n"/>
    </row>
    <row r="593" ht="27" customHeight="1">
      <c r="A593" s="77" t="n"/>
      <c r="B593" s="77" t="n"/>
      <c r="C593" s="77" t="n"/>
      <c r="D593" s="77" t="n"/>
      <c r="E593" s="33" t="inlineStr">
        <is>
          <t>C</t>
        </is>
      </c>
      <c r="F593" s="62" t="inlineStr">
        <is>
          <t>C – Implementasi</t>
        </is>
      </c>
      <c r="G593" s="62" t="inlineStr">
        <is>
          <t>Komunikasi yang efektif telah dilakukan kepada internal dan eksternal secara terstruktur dan berkala</t>
        </is>
      </c>
      <c r="H593" s="62" t="inlineStr">
        <is>
          <t>Komunikasi yang efektif telah dilakukan kepada internal dan eksternal secara terstruktur dan berkala</t>
        </is>
      </c>
      <c r="I593" s="28" t="n">
        <v>1</v>
      </c>
      <c r="J593" s="62" t="inlineStr">
        <is>
          <t>Rencana/Strategi Komunikasi</t>
        </is>
      </c>
      <c r="K593" s="78" t="inlineStr"/>
      <c r="L593" s="29" t="n"/>
      <c r="M593" s="10" t="n"/>
      <c r="N593" s="29" t="n"/>
      <c r="O593" s="29" t="n"/>
      <c r="P593" s="29" t="n"/>
      <c r="Q593" s="10" t="n"/>
      <c r="R593" s="30">
        <f>IF(OR(L593="",L593="N/A"),"",IF(L593="Tidak Ada",0,IF(P593="","",IF(P593="Tidak Sesuai",0,IF(AND(N593="Ya",O593="Ya",P593="Sesuai"),1,0.5)))))</f>
        <v/>
      </c>
      <c r="S593" s="30">
        <f>IF(L593="N/A","N/A",IF(R593="","Belum dinilai",IF(R593=1,"Memenuhi",IF(R593=0,"Tidak Memenuhi","Memenuhi Sebagian"))))</f>
        <v/>
      </c>
      <c r="T593" s="31" t="inlineStr">
        <is>
          <t>4.2-1</t>
        </is>
      </c>
      <c r="U593" s="63">
        <f>IF(COUNT(R593:R595)=0,"",SUM(R593:R595)/COUNT(R593:R595))</f>
        <v/>
      </c>
    </row>
    <row r="594" ht="27" customHeight="1">
      <c r="A594" s="77" t="n"/>
      <c r="B594" s="77" t="n"/>
      <c r="C594" s="77" t="n"/>
      <c r="D594" s="77" t="n"/>
      <c r="E594" s="33" t="inlineStr">
        <is>
          <t>C</t>
        </is>
      </c>
      <c r="F594" s="77" t="n"/>
      <c r="G594" s="77" t="n"/>
      <c r="H594" s="77" t="n"/>
      <c r="I594" s="28" t="n">
        <v>2</v>
      </c>
      <c r="J594" s="62" t="inlineStr">
        <is>
          <t>Jadwal/Program Komunikasi</t>
        </is>
      </c>
      <c r="K594" s="78" t="inlineStr"/>
      <c r="L594" s="29" t="n"/>
      <c r="M594" s="10" t="n"/>
      <c r="N594" s="29" t="n"/>
      <c r="O594" s="29" t="n"/>
      <c r="P594" s="29" t="n"/>
      <c r="Q594" s="10" t="n"/>
      <c r="R594" s="30">
        <f>IF(OR(L594="",L594="N/A"),"",IF(L594="Tidak Ada",0,IF(P594="","",IF(P594="Tidak Sesuai",0,IF(AND(N594="Ya",O594="Ya",P594="Sesuai"),1,0.5)))))</f>
        <v/>
      </c>
      <c r="S594" s="30">
        <f>IF(L594="N/A","N/A",IF(R594="","Belum dinilai",IF(R594=1,"Memenuhi",IF(R594=0,"Tidak Memenuhi","Memenuhi Sebagian"))))</f>
        <v/>
      </c>
      <c r="T594" s="31" t="inlineStr">
        <is>
          <t>4.2-1</t>
        </is>
      </c>
      <c r="U594" s="77" t="n"/>
    </row>
    <row r="595" ht="27" customHeight="1">
      <c r="A595" s="77" t="n"/>
      <c r="B595" s="77" t="n"/>
      <c r="C595" s="77" t="n"/>
      <c r="D595" s="77" t="n"/>
      <c r="E595" s="33" t="inlineStr">
        <is>
          <t>C</t>
        </is>
      </c>
      <c r="F595" s="79" t="n"/>
      <c r="G595" s="79" t="n"/>
      <c r="H595" s="79" t="n"/>
      <c r="I595" s="28" t="n">
        <v>3</v>
      </c>
      <c r="J595" s="62" t="inlineStr">
        <is>
          <t>Dokumentasi Pelaksanaan Komunikasi Internal dan Eksternal</t>
        </is>
      </c>
      <c r="K595" s="78" t="inlineStr"/>
      <c r="L595" s="29" t="inlineStr">
        <is>
          <t>Ada</t>
        </is>
      </c>
      <c r="M595" s="66" t="inlineStr">
        <is>
          <t>Dokumentasi rapat internal</t>
        </is>
      </c>
      <c r="N595" s="29" t="inlineStr">
        <is>
          <t>Ya</t>
        </is>
      </c>
      <c r="O595" s="29" t="inlineStr">
        <is>
          <t>Ya</t>
        </is>
      </c>
      <c r="P595" s="29" t="inlineStr">
        <is>
          <t>Sesuai</t>
        </is>
      </c>
      <c r="Q595" s="10" t="n"/>
      <c r="R595" s="30">
        <f>IF(OR(L595="",L595="N/A"),"",IF(L595="Tidak Ada",0,IF(P595="","",IF(P595="Tidak Sesuai",0,IF(AND(N595="Ya",O595="Ya",P595="Sesuai"),1,0.5)))))</f>
        <v/>
      </c>
      <c r="S595" s="30">
        <f>IF(L595="N/A","N/A",IF(R595="","Belum dinilai",IF(R595=1,"Memenuhi",IF(R595=0,"Tidak Memenuhi","Memenuhi Sebagian"))))</f>
        <v/>
      </c>
      <c r="T595" s="31" t="inlineStr">
        <is>
          <t>4.2-1</t>
        </is>
      </c>
      <c r="U595" s="79" t="n"/>
    </row>
    <row r="596" ht="39" customHeight="1">
      <c r="A596" s="77" t="n"/>
      <c r="B596" s="77" t="n"/>
      <c r="C596" s="77" t="n"/>
      <c r="D596" s="77" t="n"/>
      <c r="E596" s="34" t="inlineStr">
        <is>
          <t>D</t>
        </is>
      </c>
      <c r="F596" s="62" t="inlineStr">
        <is>
          <t>D – Komunikasi &amp; Pemahaman</t>
        </is>
      </c>
      <c r="G596" s="62" t="inlineStr">
        <is>
          <t>Komunikasi yang efektif telah dilakukan kepada internal dan eksternal namun belum terstruktur dan berkala</t>
        </is>
      </c>
      <c r="H596" s="62" t="inlineStr">
        <is>
          <t>Komunikasi yang efektif telah dilakukan kepada internal dan eksternal namun belum terstruktur dan berkala</t>
        </is>
      </c>
      <c r="I596" s="28" t="n">
        <v>1</v>
      </c>
      <c r="J596" s="62" t="inlineStr">
        <is>
          <t>Dokumentasi Komunikasi Internal dan Eksternal</t>
        </is>
      </c>
      <c r="K596" s="78" t="inlineStr"/>
      <c r="L596" s="29" t="n"/>
      <c r="M596" s="10" t="n"/>
      <c r="N596" s="29" t="n"/>
      <c r="O596" s="29" t="n"/>
      <c r="P596" s="29" t="n"/>
      <c r="Q596" s="10" t="n"/>
      <c r="R596" s="30">
        <f>IF(OR(L596="",L596="N/A"),"",IF(L596="Tidak Ada",0,IF(P596="","",IF(P596="Tidak Sesuai",0,IF(AND(N596="Ya",O596="Ya",P596="Sesuai"),1,0.5)))))</f>
        <v/>
      </c>
      <c r="S596" s="30">
        <f>IF(L596="N/A","N/A",IF(R596="","Belum dinilai",IF(R596=1,"Memenuhi",IF(R596=0,"Tidak Memenuhi","Memenuhi Sebagian"))))</f>
        <v/>
      </c>
      <c r="T596" s="31" t="inlineStr">
        <is>
          <t>4.2-1</t>
        </is>
      </c>
      <c r="U596" s="63">
        <f>IF(COUNT(R596:R597)=0,"",SUM(R596:R597)/COUNT(R596:R597))</f>
        <v/>
      </c>
    </row>
    <row r="597" ht="39" customHeight="1">
      <c r="A597" s="77" t="n"/>
      <c r="B597" s="77" t="n"/>
      <c r="C597" s="77" t="n"/>
      <c r="D597" s="77" t="n"/>
      <c r="E597" s="34" t="inlineStr">
        <is>
          <t>D</t>
        </is>
      </c>
      <c r="F597" s="79" t="n"/>
      <c r="G597" s="79" t="n"/>
      <c r="H597" s="79" t="n"/>
      <c r="I597" s="28" t="n">
        <v>2</v>
      </c>
      <c r="J597" s="62" t="inlineStr">
        <is>
          <t>Undangan/Notulen Kegiatan Komunikasi</t>
        </is>
      </c>
      <c r="K597" s="78" t="inlineStr"/>
      <c r="L597" s="29" t="n"/>
      <c r="M597" s="10" t="n"/>
      <c r="N597" s="29" t="n"/>
      <c r="O597" s="29" t="n"/>
      <c r="P597" s="29" t="n"/>
      <c r="Q597" s="10" t="n"/>
      <c r="R597" s="30">
        <f>IF(OR(L597="",L597="N/A"),"",IF(L597="Tidak Ada",0,IF(P597="","",IF(P597="Tidak Sesuai",0,IF(AND(N597="Ya",O597="Ya",P597="Sesuai"),1,0.5)))))</f>
        <v/>
      </c>
      <c r="S597" s="30">
        <f>IF(L597="N/A","N/A",IF(R597="","Belum dinilai",IF(R597=1,"Memenuhi",IF(R597=0,"Tidak Memenuhi","Memenuhi Sebagian"))))</f>
        <v/>
      </c>
      <c r="T597" s="31" t="inlineStr">
        <is>
          <t>4.2-1</t>
        </is>
      </c>
      <c r="U597" s="79" t="n"/>
    </row>
    <row r="598" ht="27" customHeight="1">
      <c r="A598" s="77" t="n"/>
      <c r="B598" s="77" t="n"/>
      <c r="C598" s="77" t="n"/>
      <c r="D598" s="77" t="n"/>
      <c r="E598" s="35" t="inlineStr">
        <is>
          <t>E</t>
        </is>
      </c>
      <c r="F598" s="62" t="inlineStr">
        <is>
          <t>E – Kebijakan/Formalitas</t>
        </is>
      </c>
      <c r="G598" s="62" t="inlineStr">
        <is>
          <t>Komunikasi yang efektif dengan eksternal belum dilakukan</t>
        </is>
      </c>
      <c r="H598" s="62" t="inlineStr">
        <is>
          <t>Organisasi telah memiliki/menetapkan komunikasi yang efektif dengan eksternal belum dilakukan</t>
        </is>
      </c>
      <c r="I598" s="28" t="n">
        <v>1</v>
      </c>
      <c r="J598" s="62" t="inlineStr">
        <is>
          <t>Bukti Komunikasi Internal</t>
        </is>
      </c>
      <c r="K598" s="78" t="inlineStr"/>
      <c r="L598" s="29" t="n"/>
      <c r="M598" s="10" t="n"/>
      <c r="N598" s="29" t="n"/>
      <c r="O598" s="29" t="n"/>
      <c r="P598" s="29" t="n"/>
      <c r="Q598" s="10" t="n"/>
      <c r="R598" s="30">
        <f>IF(OR(L598="",L598="N/A"),"",IF(L598="Tidak Ada",0,IF(P598="","",IF(P598="Tidak Sesuai",0,IF(AND(N598="Ya",O598="Ya",P598="Sesuai"),1,0.5)))))</f>
        <v/>
      </c>
      <c r="S598" s="30">
        <f>IF(L598="N/A","N/A",IF(R598="","Belum dinilai",IF(R598=1,"Memenuhi",IF(R598=0,"Tidak Memenuhi","Memenuhi Sebagian"))))</f>
        <v/>
      </c>
      <c r="T598" s="31" t="inlineStr">
        <is>
          <t>4.2-1</t>
        </is>
      </c>
      <c r="U598" s="63">
        <f>IF(COUNT(R598:R599)=0,"",SUM(R598:R599)/COUNT(R598:R599))</f>
        <v/>
      </c>
    </row>
    <row r="599" ht="27" customHeight="1">
      <c r="A599" s="79" t="n"/>
      <c r="B599" s="79" t="n"/>
      <c r="C599" s="79" t="n"/>
      <c r="D599" s="79" t="n"/>
      <c r="E599" s="35" t="inlineStr">
        <is>
          <t>E</t>
        </is>
      </c>
      <c r="F599" s="79" t="n"/>
      <c r="G599" s="79" t="n"/>
      <c r="H599" s="79" t="n"/>
      <c r="I599" s="28" t="n">
        <v>2</v>
      </c>
      <c r="J599" s="62" t="inlineStr">
        <is>
          <t>Bukti Komunikasi Eksternal/Media Publikasi</t>
        </is>
      </c>
      <c r="K599" s="78" t="inlineStr"/>
      <c r="L599" s="29" t="n"/>
      <c r="M599" s="10" t="n"/>
      <c r="N599" s="29" t="n"/>
      <c r="O599" s="29" t="n"/>
      <c r="P599" s="29" t="n"/>
      <c r="Q599" s="10" t="n"/>
      <c r="R599" s="30">
        <f>IF(OR(L599="",L599="N/A"),"",IF(L599="Tidak Ada",0,IF(P599="","",IF(P599="Tidak Sesuai",0,IF(AND(N599="Ya",O599="Ya",P599="Sesuai"),1,0.5)))))</f>
        <v/>
      </c>
      <c r="S599" s="30">
        <f>IF(L599="N/A","N/A",IF(R599="","Belum dinilai",IF(R599=1,"Memenuhi",IF(R599=0,"Tidak Memenuhi","Memenuhi Sebagian"))))</f>
        <v/>
      </c>
      <c r="T599" s="31" t="inlineStr">
        <is>
          <t>4.2-1</t>
        </is>
      </c>
      <c r="U599" s="79" t="n"/>
    </row>
    <row r="600" ht="27" customHeight="1">
      <c r="A600" s="56" t="inlineStr">
        <is>
          <t>5.1</t>
        </is>
      </c>
      <c r="B600" s="57" t="inlineStr">
        <is>
          <t>Pemantauan Berkelanjutan</t>
        </is>
      </c>
      <c r="C600" s="58" t="n">
        <v>1</v>
      </c>
      <c r="D600" s="59" t="inlineStr">
        <is>
          <t>Pimpinan organisasi/penanggungjawab program dan kegiatan/penanggungjawab operasional mengevaluasi secara berkala pengendalian intern yang telah dilakukan dalam rangka mencapai tujuan organisasi</t>
        </is>
      </c>
      <c r="E600" s="21" t="inlineStr">
        <is>
          <t>A</t>
        </is>
      </c>
      <c r="F600" s="60" t="inlineStr">
        <is>
          <t>A – Perbaikan Berkelanjutan</t>
        </is>
      </c>
      <c r="G600" s="60" t="inlineStr">
        <is>
          <t>Perbaikan berkelanjutan atas pemantauan pengendalian intern dilaksanakan dan berdampak pada kualitas pengendalian intern</t>
        </is>
      </c>
      <c r="H600" s="60" t="inlineStr">
        <is>
          <t>Perbaikan berkelanjutan atas pemantauan pengendalian intern dilaksanakan dan berdampak pada kualitas pengendalian intern</t>
        </is>
      </c>
      <c r="I600" s="22" t="n">
        <v>1</v>
      </c>
      <c r="J600" s="60" t="inlineStr">
        <is>
          <t>Laporan Evaluasi Pemantauan Pengendalian Intern</t>
        </is>
      </c>
      <c r="K600" s="76" t="inlineStr"/>
      <c r="L600" s="23" t="n"/>
      <c r="M600" s="24" t="n"/>
      <c r="N600" s="23" t="n"/>
      <c r="O600" s="23" t="n"/>
      <c r="P600" s="23" t="n"/>
      <c r="Q600" s="24" t="n"/>
      <c r="R600" s="25">
        <f>IF(OR(L600="",L600="N/A"),"",IF(L600="Tidak Ada",0,IF(P600="","",IF(P600="Tidak Sesuai",0,IF(AND(N600="Ya",O600="Ya",P600="Sesuai"),1,0.5)))))</f>
        <v/>
      </c>
      <c r="S600" s="25">
        <f>IF(L600="N/A","N/A",IF(R600="","Belum dinilai",IF(R600=1,"Memenuhi",IF(R600=0,"Tidak Memenuhi","Memenuhi Sebagian"))))</f>
        <v/>
      </c>
      <c r="T600" s="26" t="inlineStr">
        <is>
          <t>5.1-1</t>
        </is>
      </c>
      <c r="U600" s="61">
        <f>IF(COUNT(R600:R603)=0,"",SUM(R600:R603)/COUNT(R600:R603))</f>
        <v/>
      </c>
    </row>
    <row r="601" ht="27" customHeight="1">
      <c r="A601" s="77" t="n"/>
      <c r="B601" s="77" t="n"/>
      <c r="C601" s="77" t="n"/>
      <c r="D601" s="77" t="n"/>
      <c r="E601" s="27" t="inlineStr">
        <is>
          <t>A</t>
        </is>
      </c>
      <c r="F601" s="77" t="n"/>
      <c r="G601" s="77" t="n"/>
      <c r="H601" s="77" t="n"/>
      <c r="I601" s="28" t="n">
        <v>2</v>
      </c>
      <c r="J601" s="62" t="inlineStr">
        <is>
          <t>Rekapitulasi Tindak Lanjut</t>
        </is>
      </c>
      <c r="K601" s="78" t="inlineStr"/>
      <c r="L601" s="29" t="n"/>
      <c r="M601" s="10" t="n"/>
      <c r="N601" s="29" t="n"/>
      <c r="O601" s="29" t="n"/>
      <c r="P601" s="29" t="n"/>
      <c r="Q601" s="10" t="n"/>
      <c r="R601" s="30">
        <f>IF(OR(L601="",L601="N/A"),"",IF(L601="Tidak Ada",0,IF(P601="","",IF(P601="Tidak Sesuai",0,IF(AND(N601="Ya",O601="Ya",P601="Sesuai"),1,0.5)))))</f>
        <v/>
      </c>
      <c r="S601" s="30">
        <f>IF(L601="N/A","N/A",IF(R601="","Belum dinilai",IF(R601=1,"Memenuhi",IF(R601=0,"Tidak Memenuhi","Memenuhi Sebagian"))))</f>
        <v/>
      </c>
      <c r="T601" s="31" t="inlineStr">
        <is>
          <t>5.1-1</t>
        </is>
      </c>
      <c r="U601" s="77" t="n"/>
    </row>
    <row r="602" ht="27" customHeight="1">
      <c r="A602" s="77" t="n"/>
      <c r="B602" s="77" t="n"/>
      <c r="C602" s="77" t="n"/>
      <c r="D602" s="77" t="n"/>
      <c r="E602" s="27" t="inlineStr">
        <is>
          <t>A</t>
        </is>
      </c>
      <c r="F602" s="77" t="n"/>
      <c r="G602" s="77" t="n"/>
      <c r="H602" s="77" t="n"/>
      <c r="I602" s="28" t="n">
        <v>3</v>
      </c>
      <c r="J602" s="62" t="inlineStr">
        <is>
          <t>Bukti Perbaikan Pengendalian</t>
        </is>
      </c>
      <c r="K602" s="78" t="inlineStr"/>
      <c r="L602" s="29" t="n"/>
      <c r="M602" s="10" t="n"/>
      <c r="N602" s="29" t="n"/>
      <c r="O602" s="29" t="n"/>
      <c r="P602" s="29" t="n"/>
      <c r="Q602" s="10" t="n"/>
      <c r="R602" s="30">
        <f>IF(OR(L602="",L602="N/A"),"",IF(L602="Tidak Ada",0,IF(P602="","",IF(P602="Tidak Sesuai",0,IF(AND(N602="Ya",O602="Ya",P602="Sesuai"),1,0.5)))))</f>
        <v/>
      </c>
      <c r="S602" s="30">
        <f>IF(L602="N/A","N/A",IF(R602="","Belum dinilai",IF(R602=1,"Memenuhi",IF(R602=0,"Tidak Memenuhi","Memenuhi Sebagian"))))</f>
        <v/>
      </c>
      <c r="T602" s="31" t="inlineStr">
        <is>
          <t>5.1-1</t>
        </is>
      </c>
      <c r="U602" s="77" t="n"/>
    </row>
    <row r="603" ht="27" customHeight="1">
      <c r="A603" s="77" t="n"/>
      <c r="B603" s="77" t="n"/>
      <c r="C603" s="77" t="n"/>
      <c r="D603" s="77" t="n"/>
      <c r="E603" s="27" t="inlineStr">
        <is>
          <t>A</t>
        </is>
      </c>
      <c r="F603" s="79" t="n"/>
      <c r="G603" s="79" t="n"/>
      <c r="H603" s="79" t="n"/>
      <c r="I603" s="28" t="n">
        <v>4</v>
      </c>
      <c r="J603" s="62" t="inlineStr">
        <is>
          <t>Bukti Dampak terhadap Risiko/Kinerja</t>
        </is>
      </c>
      <c r="K603" s="78" t="inlineStr"/>
      <c r="L603" s="29" t="n"/>
      <c r="M603" s="10" t="n"/>
      <c r="N603" s="29" t="n"/>
      <c r="O603" s="29" t="n"/>
      <c r="P603" s="29" t="n"/>
      <c r="Q603" s="10" t="n"/>
      <c r="R603" s="30">
        <f>IF(OR(L603="",L603="N/A"),"",IF(L603="Tidak Ada",0,IF(P603="","",IF(P603="Tidak Sesuai",0,IF(AND(N603="Ya",O603="Ya",P603="Sesuai"),1,0.5)))))</f>
        <v/>
      </c>
      <c r="S603" s="30">
        <f>IF(L603="N/A","N/A",IF(R603="","Belum dinilai",IF(R603=1,"Memenuhi",IF(R603=0,"Tidak Memenuhi","Memenuhi Sebagian"))))</f>
        <v/>
      </c>
      <c r="T603" s="31" t="inlineStr">
        <is>
          <t>5.1-1</t>
        </is>
      </c>
      <c r="U603" s="79" t="n"/>
    </row>
    <row r="604" ht="27" customHeight="1">
      <c r="A604" s="77" t="n"/>
      <c r="B604" s="77" t="n"/>
      <c r="C604" s="77" t="n"/>
      <c r="D604" s="77" t="n"/>
      <c r="E604" s="32" t="inlineStr">
        <is>
          <t>B</t>
        </is>
      </c>
      <c r="F604" s="62" t="inlineStr">
        <is>
          <t>B – Evaluasi &amp; Tindak Lanjut</t>
        </is>
      </c>
      <c r="G604" s="62" t="inlineStr">
        <is>
          <t>Seluruh hasil pemantauan berkelanjutan dikelola dan ditindaklanjuti</t>
        </is>
      </c>
      <c r="H604" s="62" t="inlineStr">
        <is>
          <t>Seluruh hasil pemantauan berkelanjutan dikelola dan ditindaklanjuti</t>
        </is>
      </c>
      <c r="I604" s="28" t="n">
        <v>1</v>
      </c>
      <c r="J604" s="62" t="inlineStr">
        <is>
          <t>Laporan Hasil Pemantauan Pengendalian Intern</t>
        </is>
      </c>
      <c r="K604" s="78" t="inlineStr"/>
      <c r="L604" s="29" t="n"/>
      <c r="M604" s="10" t="n"/>
      <c r="N604" s="29" t="n"/>
      <c r="O604" s="29" t="n"/>
      <c r="P604" s="29" t="n"/>
      <c r="Q604" s="10" t="n"/>
      <c r="R604" s="30">
        <f>IF(OR(L604="",L604="N/A"),"",IF(L604="Tidak Ada",0,IF(P604="","",IF(P604="Tidak Sesuai",0,IF(AND(N604="Ya",O604="Ya",P604="Sesuai"),1,0.5)))))</f>
        <v/>
      </c>
      <c r="S604" s="30">
        <f>IF(L604="N/A","N/A",IF(R604="","Belum dinilai",IF(R604=1,"Memenuhi",IF(R604=0,"Tidak Memenuhi","Memenuhi Sebagian"))))</f>
        <v/>
      </c>
      <c r="T604" s="31" t="inlineStr">
        <is>
          <t>5.1-1</t>
        </is>
      </c>
      <c r="U604" s="63">
        <f>IF(COUNT(R604:R606)=0,"",SUM(R604:R606)/COUNT(R604:R606))</f>
        <v/>
      </c>
    </row>
    <row r="605" ht="15" customHeight="1">
      <c r="A605" s="77" t="n"/>
      <c r="B605" s="77" t="n"/>
      <c r="C605" s="77" t="n"/>
      <c r="D605" s="77" t="n"/>
      <c r="E605" s="32" t="inlineStr">
        <is>
          <t>B</t>
        </is>
      </c>
      <c r="F605" s="77" t="n"/>
      <c r="G605" s="77" t="n"/>
      <c r="H605" s="77" t="n"/>
      <c r="I605" s="28" t="n">
        <v>2</v>
      </c>
      <c r="J605" s="62" t="inlineStr">
        <is>
          <t>Rekapitulasi Hasil Pemantauan</t>
        </is>
      </c>
      <c r="K605" s="78" t="inlineStr"/>
      <c r="L605" s="29" t="n"/>
      <c r="M605" s="10" t="n"/>
      <c r="N605" s="29" t="n"/>
      <c r="O605" s="29" t="n"/>
      <c r="P605" s="29" t="n"/>
      <c r="Q605" s="10" t="n"/>
      <c r="R605" s="30">
        <f>IF(OR(L605="",L605="N/A"),"",IF(L605="Tidak Ada",0,IF(P605="","",IF(P605="Tidak Sesuai",0,IF(AND(N605="Ya",O605="Ya",P605="Sesuai"),1,0.5)))))</f>
        <v/>
      </c>
      <c r="S605" s="30">
        <f>IF(L605="N/A","N/A",IF(R605="","Belum dinilai",IF(R605=1,"Memenuhi",IF(R605=0,"Tidak Memenuhi","Memenuhi Sebagian"))))</f>
        <v/>
      </c>
      <c r="T605" s="31" t="inlineStr">
        <is>
          <t>5.1-1</t>
        </is>
      </c>
      <c r="U605" s="77" t="n"/>
    </row>
    <row r="606" ht="15" customHeight="1">
      <c r="A606" s="77" t="n"/>
      <c r="B606" s="77" t="n"/>
      <c r="C606" s="77" t="n"/>
      <c r="D606" s="77" t="n"/>
      <c r="E606" s="32" t="inlineStr">
        <is>
          <t>B</t>
        </is>
      </c>
      <c r="F606" s="79" t="n"/>
      <c r="G606" s="79" t="n"/>
      <c r="H606" s="79" t="n"/>
      <c r="I606" s="28" t="n">
        <v>3</v>
      </c>
      <c r="J606" s="62" t="inlineStr">
        <is>
          <t>Matriks Tindak Lanjut</t>
        </is>
      </c>
      <c r="K606" s="78" t="inlineStr"/>
      <c r="L606" s="29" t="n"/>
      <c r="M606" s="10" t="n"/>
      <c r="N606" s="29" t="n"/>
      <c r="O606" s="29" t="n"/>
      <c r="P606" s="29" t="n"/>
      <c r="Q606" s="10" t="n"/>
      <c r="R606" s="30">
        <f>IF(OR(L606="",L606="N/A"),"",IF(L606="Tidak Ada",0,IF(P606="","",IF(P606="Tidak Sesuai",0,IF(AND(N606="Ya",O606="Ya",P606="Sesuai"),1,0.5)))))</f>
        <v/>
      </c>
      <c r="S606" s="30">
        <f>IF(L606="N/A","N/A",IF(R606="","Belum dinilai",IF(R606=1,"Memenuhi",IF(R606=0,"Tidak Memenuhi","Memenuhi Sebagian"))))</f>
        <v/>
      </c>
      <c r="T606" s="31" t="inlineStr">
        <is>
          <t>5.1-1</t>
        </is>
      </c>
      <c r="U606" s="79" t="n"/>
    </row>
    <row r="607" ht="63" customHeight="1">
      <c r="A607" s="77" t="n"/>
      <c r="B607" s="77" t="n"/>
      <c r="C607" s="77" t="n"/>
      <c r="D607" s="77" t="n"/>
      <c r="E607" s="33" t="inlineStr">
        <is>
          <t>C</t>
        </is>
      </c>
      <c r="F607" s="62" t="inlineStr">
        <is>
          <t>C – Implementasi</t>
        </is>
      </c>
      <c r="G607" s="62" t="inlineStr">
        <is>
          <t>Pemantauan pelaksanaan pengendalian telah dilaksanakan pada seluruh aktivitas pengendalian dan terkait pemantauan kinerja telah dilaksanakan pada level program, kegiatan, unit kerja level dibawahnya sampai dengan pemantauan kinerja individu, namun hasil pemantauan belum dikelola (tidak lanjut tidak termonitor)</t>
        </is>
      </c>
      <c r="H607" s="62" t="inlineStr">
        <is>
          <t>Pemantauan pelaksanaan pengendalian telah dilaksanakan pada seluruh aktivitas pengendalian dan terkait pemantauan kinerja telah dilaksanakan pada level program, kegiatan, unit kerja level dibawahnya sampai dengan pemantauan kinerja individu, namun hasil pemantauan belum dikelola (tidak lanjut tidak termonitor)</t>
        </is>
      </c>
      <c r="I607" s="28" t="n">
        <v>1</v>
      </c>
      <c r="J607" s="62" t="inlineStr">
        <is>
          <t>Laporan Pemantauan Pengendalian</t>
        </is>
      </c>
      <c r="K607" s="78" t="inlineStr"/>
      <c r="L607" s="29" t="n"/>
      <c r="M607" s="10" t="n"/>
      <c r="N607" s="29" t="n"/>
      <c r="O607" s="29" t="n"/>
      <c r="P607" s="29" t="n"/>
      <c r="Q607" s="10" t="n"/>
      <c r="R607" s="30">
        <f>IF(OR(L607="",L607="N/A"),"",IF(L607="Tidak Ada",0,IF(P607="","",IF(P607="Tidak Sesuai",0,IF(AND(N607="Ya",O607="Ya",P607="Sesuai"),1,0.5)))))</f>
        <v/>
      </c>
      <c r="S607" s="30">
        <f>IF(L607="N/A","N/A",IF(R607="","Belum dinilai",IF(R607=1,"Memenuhi",IF(R607=0,"Tidak Memenuhi","Memenuhi Sebagian"))))</f>
        <v/>
      </c>
      <c r="T607" s="31" t="inlineStr">
        <is>
          <t>5.1-1</t>
        </is>
      </c>
      <c r="U607" s="63">
        <f>IF(COUNT(R607:R609)=0,"",SUM(R607:R609)/COUNT(R607:R609))</f>
        <v/>
      </c>
    </row>
    <row r="608" ht="63" customHeight="1">
      <c r="A608" s="77" t="n"/>
      <c r="B608" s="77" t="n"/>
      <c r="C608" s="77" t="n"/>
      <c r="D608" s="77" t="n"/>
      <c r="E608" s="33" t="inlineStr">
        <is>
          <t>C</t>
        </is>
      </c>
      <c r="F608" s="77" t="n"/>
      <c r="G608" s="77" t="n"/>
      <c r="H608" s="77" t="n"/>
      <c r="I608" s="28" t="n">
        <v>2</v>
      </c>
      <c r="J608" s="62" t="inlineStr">
        <is>
          <t>Checklist Pemantauan</t>
        </is>
      </c>
      <c r="K608" s="78" t="inlineStr"/>
      <c r="L608" s="29" t="n"/>
      <c r="M608" s="10" t="n"/>
      <c r="N608" s="29" t="n"/>
      <c r="O608" s="29" t="n"/>
      <c r="P608" s="29" t="n"/>
      <c r="Q608" s="10" t="n"/>
      <c r="R608" s="30">
        <f>IF(OR(L608="",L608="N/A"),"",IF(L608="Tidak Ada",0,IF(P608="","",IF(P608="Tidak Sesuai",0,IF(AND(N608="Ya",O608="Ya",P608="Sesuai"),1,0.5)))))</f>
        <v/>
      </c>
      <c r="S608" s="30">
        <f>IF(L608="N/A","N/A",IF(R608="","Belum dinilai",IF(R608=1,"Memenuhi",IF(R608=0,"Tidak Memenuhi","Memenuhi Sebagian"))))</f>
        <v/>
      </c>
      <c r="T608" s="31" t="inlineStr">
        <is>
          <t>5.1-1</t>
        </is>
      </c>
      <c r="U608" s="77" t="n"/>
    </row>
    <row r="609" ht="63" customHeight="1">
      <c r="A609" s="77" t="n"/>
      <c r="B609" s="77" t="n"/>
      <c r="C609" s="77" t="n"/>
      <c r="D609" s="77" t="n"/>
      <c r="E609" s="33" t="inlineStr">
        <is>
          <t>C</t>
        </is>
      </c>
      <c r="F609" s="79" t="n"/>
      <c r="G609" s="79" t="n"/>
      <c r="H609" s="79" t="n"/>
      <c r="I609" s="28" t="n">
        <v>3</v>
      </c>
      <c r="J609" s="62" t="inlineStr">
        <is>
          <t>Laporan Pemantauan Kinerja Program/Kegiatan/Unit Kerja/Individu</t>
        </is>
      </c>
      <c r="K609" s="78" t="inlineStr"/>
      <c r="L609" s="29" t="inlineStr">
        <is>
          <t>Ada</t>
        </is>
      </c>
      <c r="M609" s="66" t="inlineStr">
        <is>
          <t>Dokumen Evaluasi Kinerja, Aplikasi SIKAP</t>
        </is>
      </c>
      <c r="N609" s="29" t="inlineStr">
        <is>
          <t>Ya</t>
        </is>
      </c>
      <c r="O609" s="29" t="inlineStr">
        <is>
          <t>Ya</t>
        </is>
      </c>
      <c r="P609" s="29" t="inlineStr">
        <is>
          <t>Sesuai</t>
        </is>
      </c>
      <c r="Q609" s="10" t="n"/>
      <c r="R609" s="30">
        <f>IF(OR(L609="",L609="N/A"),"",IF(L609="Tidak Ada",0,IF(P609="","",IF(P609="Tidak Sesuai",0,IF(AND(N609="Ya",O609="Ya",P609="Sesuai"),1,0.5)))))</f>
        <v/>
      </c>
      <c r="S609" s="30">
        <f>IF(L609="N/A","N/A",IF(R609="","Belum dinilai",IF(R609=1,"Memenuhi",IF(R609=0,"Tidak Memenuhi","Memenuhi Sebagian"))))</f>
        <v/>
      </c>
      <c r="T609" s="31" t="inlineStr">
        <is>
          <t>5.1-1</t>
        </is>
      </c>
      <c r="U609" s="79" t="n"/>
    </row>
    <row r="610" ht="39" customHeight="1">
      <c r="A610" s="77" t="n"/>
      <c r="B610" s="77" t="n"/>
      <c r="C610" s="77" t="n"/>
      <c r="D610" s="77" t="n"/>
      <c r="E610" s="34" t="inlineStr">
        <is>
          <t>D</t>
        </is>
      </c>
      <c r="F610" s="62" t="inlineStr">
        <is>
          <t>D – Komunikasi &amp; Pemahaman</t>
        </is>
      </c>
      <c r="G610" s="62" t="inlineStr">
        <is>
          <t>Pemantauan pelaksanaan pengendalian telah dilaksanakan pada sebagian aktivitas pengendalian dan terkait pemantauan kinerja telah dilaksanakan pada level program dan kegiatan</t>
        </is>
      </c>
      <c r="H610" s="62" t="inlineStr">
        <is>
          <t>Pemantauan pelaksanaan pengendalian telah dilaksanakan pada sebagian aktivitas pengendalian dan terkait pemantauan kinerja telah dilaksanakan pada level program dan kegiatan</t>
        </is>
      </c>
      <c r="I610" s="28" t="n">
        <v>1</v>
      </c>
      <c r="J610" s="62" t="inlineStr">
        <is>
          <t>Laporan Pemantauan Pengendalian</t>
        </is>
      </c>
      <c r="K610" s="78" t="inlineStr"/>
      <c r="L610" s="29" t="n"/>
      <c r="M610" s="10" t="n"/>
      <c r="N610" s="29" t="n"/>
      <c r="O610" s="29" t="n"/>
      <c r="P610" s="29" t="n"/>
      <c r="Q610" s="10" t="n"/>
      <c r="R610" s="30">
        <f>IF(OR(L610="",L610="N/A"),"",IF(L610="Tidak Ada",0,IF(P610="","",IF(P610="Tidak Sesuai",0,IF(AND(N610="Ya",O610="Ya",P610="Sesuai"),1,0.5)))))</f>
        <v/>
      </c>
      <c r="S610" s="30">
        <f>IF(L610="N/A","N/A",IF(R610="","Belum dinilai",IF(R610=1,"Memenuhi",IF(R610=0,"Tidak Memenuhi","Memenuhi Sebagian"))))</f>
        <v/>
      </c>
      <c r="T610" s="31" t="inlineStr">
        <is>
          <t>5.1-1</t>
        </is>
      </c>
      <c r="U610" s="63">
        <f>IF(COUNT(R610:R612)=0,"",SUM(R610:R612)/COUNT(R610:R612))</f>
        <v/>
      </c>
    </row>
    <row r="611" ht="39" customHeight="1">
      <c r="A611" s="77" t="n"/>
      <c r="B611" s="77" t="n"/>
      <c r="C611" s="77" t="n"/>
      <c r="D611" s="77" t="n"/>
      <c r="E611" s="34" t="inlineStr">
        <is>
          <t>D</t>
        </is>
      </c>
      <c r="F611" s="77" t="n"/>
      <c r="G611" s="77" t="n"/>
      <c r="H611" s="77" t="n"/>
      <c r="I611" s="28" t="n">
        <v>2</v>
      </c>
      <c r="J611" s="62" t="inlineStr">
        <is>
          <t>Checklist Pemantauan Sebagian Aktivitas</t>
        </is>
      </c>
      <c r="K611" s="78" t="inlineStr"/>
      <c r="L611" s="29" t="n"/>
      <c r="M611" s="10" t="n"/>
      <c r="N611" s="29" t="n"/>
      <c r="O611" s="29" t="n"/>
      <c r="P611" s="29" t="n"/>
      <c r="Q611" s="10" t="n"/>
      <c r="R611" s="30">
        <f>IF(OR(L611="",L611="N/A"),"",IF(L611="Tidak Ada",0,IF(P611="","",IF(P611="Tidak Sesuai",0,IF(AND(N611="Ya",O611="Ya",P611="Sesuai"),1,0.5)))))</f>
        <v/>
      </c>
      <c r="S611" s="30">
        <f>IF(L611="N/A","N/A",IF(R611="","Belum dinilai",IF(R611=1,"Memenuhi",IF(R611=0,"Tidak Memenuhi","Memenuhi Sebagian"))))</f>
        <v/>
      </c>
      <c r="T611" s="31" t="inlineStr">
        <is>
          <t>5.1-1</t>
        </is>
      </c>
      <c r="U611" s="77" t="n"/>
    </row>
    <row r="612" ht="39" customHeight="1">
      <c r="A612" s="77" t="n"/>
      <c r="B612" s="77" t="n"/>
      <c r="C612" s="77" t="n"/>
      <c r="D612" s="77" t="n"/>
      <c r="E612" s="34" t="inlineStr">
        <is>
          <t>D</t>
        </is>
      </c>
      <c r="F612" s="79" t="n"/>
      <c r="G612" s="79" t="n"/>
      <c r="H612" s="79" t="n"/>
      <c r="I612" s="28" t="n">
        <v>3</v>
      </c>
      <c r="J612" s="62" t="inlineStr">
        <is>
          <t>Laporan Pemantauan Kinerja Program/Kegiatan</t>
        </is>
      </c>
      <c r="K612" s="78" t="inlineStr"/>
      <c r="L612" s="29" t="n"/>
      <c r="M612" s="10" t="n"/>
      <c r="N612" s="29" t="n"/>
      <c r="O612" s="29" t="n"/>
      <c r="P612" s="29" t="n"/>
      <c r="Q612" s="10" t="n"/>
      <c r="R612" s="30">
        <f>IF(OR(L612="",L612="N/A"),"",IF(L612="Tidak Ada",0,IF(P612="","",IF(P612="Tidak Sesuai",0,IF(AND(N612="Ya",O612="Ya",P612="Sesuai"),1,0.5)))))</f>
        <v/>
      </c>
      <c r="S612" s="30">
        <f>IF(L612="N/A","N/A",IF(R612="","Belum dinilai",IF(R612=1,"Memenuhi",IF(R612=0,"Tidak Memenuhi","Memenuhi Sebagian"))))</f>
        <v/>
      </c>
      <c r="T612" s="31" t="inlineStr">
        <is>
          <t>5.1-1</t>
        </is>
      </c>
      <c r="U612" s="79" t="n"/>
    </row>
    <row r="613" ht="27" customHeight="1">
      <c r="A613" s="77" t="n"/>
      <c r="B613" s="77" t="n"/>
      <c r="C613" s="77" t="n"/>
      <c r="D613" s="77" t="n"/>
      <c r="E613" s="35" t="inlineStr">
        <is>
          <t>E</t>
        </is>
      </c>
      <c r="F613" s="62" t="inlineStr">
        <is>
          <t>E – Kebijakan/Formalitas</t>
        </is>
      </c>
      <c r="G613" s="62" t="inlineStr">
        <is>
          <t>Pemantauan pelaksanaan pengendalian telah dilaksanakan</t>
        </is>
      </c>
      <c r="H613" s="62" t="inlineStr">
        <is>
          <t>Organisasi telah memiliki/menetapkan pemantauan pelaksanaan pengendalian telah dilaksanakan</t>
        </is>
      </c>
      <c r="I613" s="28" t="n">
        <v>1</v>
      </c>
      <c r="J613" s="62" t="inlineStr">
        <is>
          <t>Laporan/Checklist Pemantauan Pelaksanaan Pengendalian</t>
        </is>
      </c>
      <c r="K613" s="78" t="inlineStr"/>
      <c r="L613" s="29" t="n"/>
      <c r="M613" s="10" t="n"/>
      <c r="N613" s="29" t="n"/>
      <c r="O613" s="29" t="n"/>
      <c r="P613" s="29" t="n"/>
      <c r="Q613" s="10" t="n"/>
      <c r="R613" s="30">
        <f>IF(OR(L613="",L613="N/A"),"",IF(L613="Tidak Ada",0,IF(P613="","",IF(P613="Tidak Sesuai",0,IF(AND(N613="Ya",O613="Ya",P613="Sesuai"),1,0.5)))))</f>
        <v/>
      </c>
      <c r="S613" s="30">
        <f>IF(L613="N/A","N/A",IF(R613="","Belum dinilai",IF(R613=1,"Memenuhi",IF(R613=0,"Tidak Memenuhi","Memenuhi Sebagian"))))</f>
        <v/>
      </c>
      <c r="T613" s="31" t="inlineStr">
        <is>
          <t>5.1-1</t>
        </is>
      </c>
      <c r="U613" s="63">
        <f>IF(COUNT(R613:R614)=0,"",SUM(R613:R614)/COUNT(R613:R614))</f>
        <v/>
      </c>
    </row>
    <row r="614" ht="27" customHeight="1">
      <c r="A614" s="79" t="n"/>
      <c r="B614" s="79" t="n"/>
      <c r="C614" s="79" t="n"/>
      <c r="D614" s="79" t="n"/>
      <c r="E614" s="35" t="inlineStr">
        <is>
          <t>E</t>
        </is>
      </c>
      <c r="F614" s="79" t="n"/>
      <c r="G614" s="79" t="n"/>
      <c r="H614" s="79" t="n"/>
      <c r="I614" s="28" t="n">
        <v>2</v>
      </c>
      <c r="J614" s="62" t="inlineStr">
        <is>
          <t>Laporan Pemantauan Kinerja</t>
        </is>
      </c>
      <c r="K614" s="78" t="inlineStr"/>
      <c r="L614" s="29" t="n"/>
      <c r="M614" s="10" t="n"/>
      <c r="N614" s="29" t="n"/>
      <c r="O614" s="29" t="n"/>
      <c r="P614" s="29" t="n"/>
      <c r="Q614" s="10" t="n"/>
      <c r="R614" s="30">
        <f>IF(OR(L614="",L614="N/A"),"",IF(L614="Tidak Ada",0,IF(P614="","",IF(P614="Tidak Sesuai",0,IF(AND(N614="Ya",O614="Ya",P614="Sesuai"),1,0.5)))))</f>
        <v/>
      </c>
      <c r="S614" s="30">
        <f>IF(L614="N/A","N/A",IF(R614="","Belum dinilai",IF(R614=1,"Memenuhi",IF(R614=0,"Tidak Memenuhi","Memenuhi Sebagian"))))</f>
        <v/>
      </c>
      <c r="T614" s="31" t="inlineStr">
        <is>
          <t>5.1-1</t>
        </is>
      </c>
      <c r="U614" s="79" t="n"/>
    </row>
    <row r="615" ht="27" customHeight="1">
      <c r="A615" s="56" t="inlineStr">
        <is>
          <t>5.1</t>
        </is>
      </c>
      <c r="B615" s="57" t="inlineStr">
        <is>
          <t>Pemantauan Berkelanjutan</t>
        </is>
      </c>
      <c r="C615" s="58" t="n">
        <v>2</v>
      </c>
      <c r="D615" s="59" t="inlineStr">
        <is>
          <t>Proses manajemen risiko telah direviu</t>
        </is>
      </c>
      <c r="E615" s="21" t="inlineStr">
        <is>
          <t>A</t>
        </is>
      </c>
      <c r="F615" s="60" t="inlineStr">
        <is>
          <t>A – Perbaikan Berkelanjutan</t>
        </is>
      </c>
      <c r="G615" s="60" t="inlineStr">
        <is>
          <t>Sudah dilakukan reviu atas seluruh risiko operasional unit kerja, strategis unit kerja, dan strategis K/L/D dan hasil reviu dijadikan bahan perbaikan organisasi</t>
        </is>
      </c>
      <c r="H615" s="60" t="inlineStr">
        <is>
          <t>Dilakukan reviu atas seluruh risiko operasional unit kerja, strategis unit kerja, dan strategis K/L/D dan hasil reviu dijadikan bahan perbaikan organisasi</t>
        </is>
      </c>
      <c r="I615" s="22" t="n">
        <v>1</v>
      </c>
      <c r="J615" s="60" t="inlineStr">
        <is>
          <t>Laporan Reviu Proses Manajemen Risiko</t>
        </is>
      </c>
      <c r="K615" s="76" t="inlineStr"/>
      <c r="L615" s="23" t="n"/>
      <c r="M615" s="24" t="n"/>
      <c r="N615" s="23" t="n"/>
      <c r="O615" s="23" t="n"/>
      <c r="P615" s="23" t="n"/>
      <c r="Q615" s="24" t="n"/>
      <c r="R615" s="25">
        <f>IF(OR(L615="",L615="N/A"),"",IF(L615="Tidak Ada",0,IF(P615="","",IF(P615="Tidak Sesuai",0,IF(AND(N615="Ya",O615="Ya",P615="Sesuai"),1,0.5)))))</f>
        <v/>
      </c>
      <c r="S615" s="25">
        <f>IF(L615="N/A","N/A",IF(R615="","Belum dinilai",IF(R615=1,"Memenuhi",IF(R615=0,"Tidak Memenuhi","Memenuhi Sebagian"))))</f>
        <v/>
      </c>
      <c r="T615" s="26" t="inlineStr">
        <is>
          <t>5.1-2</t>
        </is>
      </c>
      <c r="U615" s="61">
        <f>IF(COUNT(R615:R618)=0,"",SUM(R615:R618)/COUNT(R615:R618))</f>
        <v/>
      </c>
    </row>
    <row r="616" ht="27" customHeight="1">
      <c r="A616" s="77" t="n"/>
      <c r="B616" s="77" t="n"/>
      <c r="C616" s="77" t="n"/>
      <c r="D616" s="77" t="n"/>
      <c r="E616" s="27" t="inlineStr">
        <is>
          <t>A</t>
        </is>
      </c>
      <c r="F616" s="77" t="n"/>
      <c r="G616" s="77" t="n"/>
      <c r="H616" s="77" t="n"/>
      <c r="I616" s="28" t="n">
        <v>2</v>
      </c>
      <c r="J616" s="62" t="inlineStr">
        <is>
          <t>Laporan Hasil Reviu</t>
        </is>
      </c>
      <c r="K616" s="78" t="inlineStr"/>
      <c r="L616" s="29" t="n"/>
      <c r="M616" s="10" t="n"/>
      <c r="N616" s="29" t="n"/>
      <c r="O616" s="29" t="n"/>
      <c r="P616" s="29" t="n"/>
      <c r="Q616" s="10" t="n"/>
      <c r="R616" s="30">
        <f>IF(OR(L616="",L616="N/A"),"",IF(L616="Tidak Ada",0,IF(P616="","",IF(P616="Tidak Sesuai",0,IF(AND(N616="Ya",O616="Ya",P616="Sesuai"),1,0.5)))))</f>
        <v/>
      </c>
      <c r="S616" s="30">
        <f>IF(L616="N/A","N/A",IF(R616="","Belum dinilai",IF(R616=1,"Memenuhi",IF(R616=0,"Tidak Memenuhi","Memenuhi Sebagian"))))</f>
        <v/>
      </c>
      <c r="T616" s="31" t="inlineStr">
        <is>
          <t>5.1-2</t>
        </is>
      </c>
      <c r="U616" s="77" t="n"/>
    </row>
    <row r="617" ht="27" customHeight="1">
      <c r="A617" s="77" t="n"/>
      <c r="B617" s="77" t="n"/>
      <c r="C617" s="77" t="n"/>
      <c r="D617" s="77" t="n"/>
      <c r="E617" s="27" t="inlineStr">
        <is>
          <t>A</t>
        </is>
      </c>
      <c r="F617" s="77" t="n"/>
      <c r="G617" s="77" t="n"/>
      <c r="H617" s="77" t="n"/>
      <c r="I617" s="28" t="n">
        <v>3</v>
      </c>
      <c r="J617" s="62" t="inlineStr">
        <is>
          <t>Matriks Tindak Lanjut</t>
        </is>
      </c>
      <c r="K617" s="78" t="inlineStr"/>
      <c r="L617" s="29" t="n"/>
      <c r="M617" s="10" t="n"/>
      <c r="N617" s="29" t="n"/>
      <c r="O617" s="29" t="n"/>
      <c r="P617" s="29" t="n"/>
      <c r="Q617" s="10" t="n"/>
      <c r="R617" s="30">
        <f>IF(OR(L617="",L617="N/A"),"",IF(L617="Tidak Ada",0,IF(P617="","",IF(P617="Tidak Sesuai",0,IF(AND(N617="Ya",O617="Ya",P617="Sesuai"),1,0.5)))))</f>
        <v/>
      </c>
      <c r="S617" s="30">
        <f>IF(L617="N/A","N/A",IF(R617="","Belum dinilai",IF(R617=1,"Memenuhi",IF(R617=0,"Tidak Memenuhi","Memenuhi Sebagian"))))</f>
        <v/>
      </c>
      <c r="T617" s="31" t="inlineStr">
        <is>
          <t>5.1-2</t>
        </is>
      </c>
      <c r="U617" s="77" t="n"/>
    </row>
    <row r="618" ht="27" customHeight="1">
      <c r="A618" s="77" t="n"/>
      <c r="B618" s="77" t="n"/>
      <c r="C618" s="77" t="n"/>
      <c r="D618" s="77" t="n"/>
      <c r="E618" s="27" t="inlineStr">
        <is>
          <t>A</t>
        </is>
      </c>
      <c r="F618" s="79" t="n"/>
      <c r="G618" s="79" t="n"/>
      <c r="H618" s="79" t="n"/>
      <c r="I618" s="28" t="n">
        <v>4</v>
      </c>
      <c r="J618" s="62" t="inlineStr">
        <is>
          <t>Dokumen Perbaikan Organisasi</t>
        </is>
      </c>
      <c r="K618" s="78" t="inlineStr"/>
      <c r="L618" s="29" t="n"/>
      <c r="M618" s="10" t="n"/>
      <c r="N618" s="29" t="n"/>
      <c r="O618" s="29" t="n"/>
      <c r="P618" s="29" t="n"/>
      <c r="Q618" s="10" t="n"/>
      <c r="R618" s="30">
        <f>IF(OR(L618="",L618="N/A"),"",IF(L618="Tidak Ada",0,IF(P618="","",IF(P618="Tidak Sesuai",0,IF(AND(N618="Ya",O618="Ya",P618="Sesuai"),1,0.5)))))</f>
        <v/>
      </c>
      <c r="S618" s="30">
        <f>IF(L618="N/A","N/A",IF(R618="","Belum dinilai",IF(R618=1,"Memenuhi",IF(R618=0,"Tidak Memenuhi","Memenuhi Sebagian"))))</f>
        <v/>
      </c>
      <c r="T618" s="31" t="inlineStr">
        <is>
          <t>5.1-2</t>
        </is>
      </c>
      <c r="U618" s="79" t="n"/>
    </row>
    <row r="619" ht="27" customHeight="1">
      <c r="A619" s="77" t="n"/>
      <c r="B619" s="77" t="n"/>
      <c r="C619" s="77" t="n"/>
      <c r="D619" s="77" t="n"/>
      <c r="E619" s="32" t="inlineStr">
        <is>
          <t>B</t>
        </is>
      </c>
      <c r="F619" s="62" t="inlineStr">
        <is>
          <t>B – Evaluasi &amp; Tindak Lanjut</t>
        </is>
      </c>
      <c r="G619" s="62" t="inlineStr">
        <is>
          <t>Sudah dilakukan reviu atas seluruh risiko operasional unit kerja, strategis unit kerja, dan strategis K/L/D</t>
        </is>
      </c>
      <c r="H619" s="62" t="inlineStr">
        <is>
          <t>Dilakukan reviu atas seluruh risiko operasional unit kerja, strategis unit kerja, dan strategis K/L/D</t>
        </is>
      </c>
      <c r="I619" s="28" t="n">
        <v>1</v>
      </c>
      <c r="J619" s="62" t="inlineStr">
        <is>
          <t>Laporan Reviu Proses Manajemen Risiko</t>
        </is>
      </c>
      <c r="K619" s="78" t="inlineStr"/>
      <c r="L619" s="29" t="n"/>
      <c r="M619" s="10" t="n"/>
      <c r="N619" s="29" t="n"/>
      <c r="O619" s="29" t="n"/>
      <c r="P619" s="29" t="n"/>
      <c r="Q619" s="10" t="n"/>
      <c r="R619" s="30">
        <f>IF(OR(L619="",L619="N/A"),"",IF(L619="Tidak Ada",0,IF(P619="","",IF(P619="Tidak Sesuai",0,IF(AND(N619="Ya",O619="Ya",P619="Sesuai"),1,0.5)))))</f>
        <v/>
      </c>
      <c r="S619" s="30">
        <f>IF(L619="N/A","N/A",IF(R619="","Belum dinilai",IF(R619=1,"Memenuhi",IF(R619=0,"Tidak Memenuhi","Memenuhi Sebagian"))))</f>
        <v/>
      </c>
      <c r="T619" s="31" t="inlineStr">
        <is>
          <t>5.1-2</t>
        </is>
      </c>
      <c r="U619" s="63">
        <f>IF(COUNT(R619:R621)=0,"",SUM(R619:R621)/COUNT(R619:R621))</f>
        <v/>
      </c>
    </row>
    <row r="620" ht="27" customHeight="1">
      <c r="A620" s="77" t="n"/>
      <c r="B620" s="77" t="n"/>
      <c r="C620" s="77" t="n"/>
      <c r="D620" s="77" t="n"/>
      <c r="E620" s="32" t="inlineStr">
        <is>
          <t>B</t>
        </is>
      </c>
      <c r="F620" s="77" t="n"/>
      <c r="G620" s="77" t="n"/>
      <c r="H620" s="77" t="n"/>
      <c r="I620" s="28" t="n">
        <v>2</v>
      </c>
      <c r="J620" s="62" t="inlineStr">
        <is>
          <t>Laporan Hasil Reviu</t>
        </is>
      </c>
      <c r="K620" s="78" t="inlineStr"/>
      <c r="L620" s="29" t="n"/>
      <c r="M620" s="10" t="n"/>
      <c r="N620" s="29" t="n"/>
      <c r="O620" s="29" t="n"/>
      <c r="P620" s="29" t="n"/>
      <c r="Q620" s="10" t="n"/>
      <c r="R620" s="30">
        <f>IF(OR(L620="",L620="N/A"),"",IF(L620="Tidak Ada",0,IF(P620="","",IF(P620="Tidak Sesuai",0,IF(AND(N620="Ya",O620="Ya",P620="Sesuai"),1,0.5)))))</f>
        <v/>
      </c>
      <c r="S620" s="30">
        <f>IF(L620="N/A","N/A",IF(R620="","Belum dinilai",IF(R620=1,"Memenuhi",IF(R620=0,"Tidak Memenuhi","Memenuhi Sebagian"))))</f>
        <v/>
      </c>
      <c r="T620" s="31" t="inlineStr">
        <is>
          <t>5.1-2</t>
        </is>
      </c>
      <c r="U620" s="77" t="n"/>
    </row>
    <row r="621" ht="27" customHeight="1">
      <c r="A621" s="77" t="n"/>
      <c r="B621" s="77" t="n"/>
      <c r="C621" s="77" t="n"/>
      <c r="D621" s="77" t="n"/>
      <c r="E621" s="32" t="inlineStr">
        <is>
          <t>B</t>
        </is>
      </c>
      <c r="F621" s="79" t="n"/>
      <c r="G621" s="79" t="n"/>
      <c r="H621" s="79" t="n"/>
      <c r="I621" s="28" t="n">
        <v>3</v>
      </c>
      <c r="J621" s="62" t="inlineStr">
        <is>
          <t>Matriks Tindak Lanjut</t>
        </is>
      </c>
      <c r="K621" s="78" t="inlineStr"/>
      <c r="L621" s="29" t="n"/>
      <c r="M621" s="10" t="n"/>
      <c r="N621" s="29" t="n"/>
      <c r="O621" s="29" t="n"/>
      <c r="P621" s="29" t="n"/>
      <c r="Q621" s="10" t="n"/>
      <c r="R621" s="30">
        <f>IF(OR(L621="",L621="N/A"),"",IF(L621="Tidak Ada",0,IF(P621="","",IF(P621="Tidak Sesuai",0,IF(AND(N621="Ya",O621="Ya",P621="Sesuai"),1,0.5)))))</f>
        <v/>
      </c>
      <c r="S621" s="30">
        <f>IF(L621="N/A","N/A",IF(R621="","Belum dinilai",IF(R621=1,"Memenuhi",IF(R621=0,"Tidak Memenuhi","Memenuhi Sebagian"))))</f>
        <v/>
      </c>
      <c r="T621" s="31" t="inlineStr">
        <is>
          <t>5.1-2</t>
        </is>
      </c>
      <c r="U621" s="79" t="n"/>
    </row>
    <row r="622" ht="39" customHeight="1">
      <c r="A622" s="77" t="n"/>
      <c r="B622" s="77" t="n"/>
      <c r="C622" s="77" t="n"/>
      <c r="D622" s="77" t="n"/>
      <c r="E622" s="33" t="inlineStr">
        <is>
          <t>C</t>
        </is>
      </c>
      <c r="F622" s="62" t="inlineStr">
        <is>
          <t>C – Implementasi</t>
        </is>
      </c>
      <c r="G622" s="62" t="inlineStr">
        <is>
          <t>Sudah dilakukan reviu atas seluruh risiko operasional unit kerja dan strategis unit kerja</t>
        </is>
      </c>
      <c r="H622" s="62" t="inlineStr">
        <is>
          <t>Dilakukan reviu atas seluruh risiko operasional unit kerja dan strategis unit kerja</t>
        </is>
      </c>
      <c r="I622" s="28" t="n">
        <v>1</v>
      </c>
      <c r="J622" s="62" t="inlineStr">
        <is>
          <t>Laporan Reviu Proses Manajemen Risiko Operasional dan Strategis Unit Kerja</t>
        </is>
      </c>
      <c r="K622" s="78" t="inlineStr"/>
      <c r="L622" s="29" t="inlineStr">
        <is>
          <t>Ada</t>
        </is>
      </c>
      <c r="M622" s="66" t="inlineStr">
        <is>
          <t>Laporan pendampingan RR OPD</t>
        </is>
      </c>
      <c r="N622" s="29" t="inlineStr">
        <is>
          <t>Ya</t>
        </is>
      </c>
      <c r="O622" s="29" t="inlineStr">
        <is>
          <t>Ya</t>
        </is>
      </c>
      <c r="P622" s="29" t="inlineStr">
        <is>
          <t>Sesuai</t>
        </is>
      </c>
      <c r="Q622" s="10" t="n"/>
      <c r="R622" s="30">
        <f>IF(OR(L622="",L622="N/A"),"",IF(L622="Tidak Ada",0,IF(P622="","",IF(P622="Tidak Sesuai",0,IF(AND(N622="Ya",O622="Ya",P622="Sesuai"),1,0.5)))))</f>
        <v/>
      </c>
      <c r="S622" s="30">
        <f>IF(L622="N/A","N/A",IF(R622="","Belum dinilai",IF(R622=1,"Memenuhi",IF(R622=0,"Tidak Memenuhi","Memenuhi Sebagian"))))</f>
        <v/>
      </c>
      <c r="T622" s="31" t="inlineStr">
        <is>
          <t>5.1-2</t>
        </is>
      </c>
      <c r="U622" s="63">
        <f>IF(COUNT(R622:R624)=0,"",SUM(R622:R624)/COUNT(R622:R624))</f>
        <v/>
      </c>
    </row>
    <row r="623" ht="27" customHeight="1">
      <c r="A623" s="77" t="n"/>
      <c r="B623" s="77" t="n"/>
      <c r="C623" s="77" t="n"/>
      <c r="D623" s="77" t="n"/>
      <c r="E623" s="33" t="inlineStr">
        <is>
          <t>C</t>
        </is>
      </c>
      <c r="F623" s="77" t="n"/>
      <c r="G623" s="77" t="n"/>
      <c r="H623" s="77" t="n"/>
      <c r="I623" s="28" t="n">
        <v>2</v>
      </c>
      <c r="J623" s="62" t="inlineStr">
        <is>
          <t>Kertas Kerja Reviu</t>
        </is>
      </c>
      <c r="K623" s="78" t="inlineStr"/>
      <c r="L623" s="29" t="n"/>
      <c r="M623" s="10" t="n"/>
      <c r="N623" s="29" t="n"/>
      <c r="O623" s="29" t="n"/>
      <c r="P623" s="29" t="n"/>
      <c r="Q623" s="10" t="n"/>
      <c r="R623" s="30">
        <f>IF(OR(L623="",L623="N/A"),"",IF(L623="Tidak Ada",0,IF(P623="","",IF(P623="Tidak Sesuai",0,IF(AND(N623="Ya",O623="Ya",P623="Sesuai"),1,0.5)))))</f>
        <v/>
      </c>
      <c r="S623" s="30">
        <f>IF(L623="N/A","N/A",IF(R623="","Belum dinilai",IF(R623=1,"Memenuhi",IF(R623=0,"Tidak Memenuhi","Memenuhi Sebagian"))))</f>
        <v/>
      </c>
      <c r="T623" s="31" t="inlineStr">
        <is>
          <t>5.1-2</t>
        </is>
      </c>
      <c r="U623" s="77" t="n"/>
    </row>
    <row r="624" ht="27" customHeight="1">
      <c r="A624" s="77" t="n"/>
      <c r="B624" s="77" t="n"/>
      <c r="C624" s="77" t="n"/>
      <c r="D624" s="77" t="n"/>
      <c r="E624" s="33" t="inlineStr">
        <is>
          <t>C</t>
        </is>
      </c>
      <c r="F624" s="79" t="n"/>
      <c r="G624" s="79" t="n"/>
      <c r="H624" s="79" t="n"/>
      <c r="I624" s="28" t="n">
        <v>3</v>
      </c>
      <c r="J624" s="62" t="inlineStr">
        <is>
          <t>Laporan Hasil Reviu</t>
        </is>
      </c>
      <c r="K624" s="78" t="inlineStr"/>
      <c r="L624" s="29" t="n"/>
      <c r="M624" s="10" t="n"/>
      <c r="N624" s="29" t="n"/>
      <c r="O624" s="29" t="n"/>
      <c r="P624" s="29" t="n"/>
      <c r="Q624" s="10" t="n"/>
      <c r="R624" s="30">
        <f>IF(OR(L624="",L624="N/A"),"",IF(L624="Tidak Ada",0,IF(P624="","",IF(P624="Tidak Sesuai",0,IF(AND(N624="Ya",O624="Ya",P624="Sesuai"),1,0.5)))))</f>
        <v/>
      </c>
      <c r="S624" s="30">
        <f>IF(L624="N/A","N/A",IF(R624="","Belum dinilai",IF(R624=1,"Memenuhi",IF(R624=0,"Tidak Memenuhi","Memenuhi Sebagian"))))</f>
        <v/>
      </c>
      <c r="T624" s="31" t="inlineStr">
        <is>
          <t>5.1-2</t>
        </is>
      </c>
      <c r="U624" s="79" t="n"/>
    </row>
    <row r="625" ht="27" customHeight="1">
      <c r="A625" s="77" t="n"/>
      <c r="B625" s="77" t="n"/>
      <c r="C625" s="77" t="n"/>
      <c r="D625" s="77" t="n"/>
      <c r="E625" s="34" t="inlineStr">
        <is>
          <t>D</t>
        </is>
      </c>
      <c r="F625" s="62" t="inlineStr">
        <is>
          <t>D – Komunikasi &amp; Pemahaman</t>
        </is>
      </c>
      <c r="G625" s="62" t="inlineStr">
        <is>
          <t>Sudah dilakukan reviu atas seluruh risiko operasional unit kerja</t>
        </is>
      </c>
      <c r="H625" s="62" t="inlineStr">
        <is>
          <t>Dilakukan reviu atas seluruh risiko operasional unit kerja</t>
        </is>
      </c>
      <c r="I625" s="28" t="n">
        <v>1</v>
      </c>
      <c r="J625" s="62" t="inlineStr">
        <is>
          <t>Laporan Reviu Proses Manajemen Risiko Operasional Unit Kerja</t>
        </is>
      </c>
      <c r="K625" s="78" t="inlineStr"/>
      <c r="L625" s="29" t="n"/>
      <c r="M625" s="10" t="n"/>
      <c r="N625" s="29" t="n"/>
      <c r="O625" s="29" t="n"/>
      <c r="P625" s="29" t="n"/>
      <c r="Q625" s="10" t="n"/>
      <c r="R625" s="30">
        <f>IF(OR(L625="",L625="N/A"),"",IF(L625="Tidak Ada",0,IF(P625="","",IF(P625="Tidak Sesuai",0,IF(AND(N625="Ya",O625="Ya",P625="Sesuai"),1,0.5)))))</f>
        <v/>
      </c>
      <c r="S625" s="30">
        <f>IF(L625="N/A","N/A",IF(R625="","Belum dinilai",IF(R625=1,"Memenuhi",IF(R625=0,"Tidak Memenuhi","Memenuhi Sebagian"))))</f>
        <v/>
      </c>
      <c r="T625" s="31" t="inlineStr">
        <is>
          <t>5.1-2</t>
        </is>
      </c>
      <c r="U625" s="63">
        <f>IF(COUNT(R625:R627)=0,"",SUM(R625:R627)/COUNT(R625:R627))</f>
        <v/>
      </c>
    </row>
    <row r="626" ht="15" customHeight="1">
      <c r="A626" s="77" t="n"/>
      <c r="B626" s="77" t="n"/>
      <c r="C626" s="77" t="n"/>
      <c r="D626" s="77" t="n"/>
      <c r="E626" s="34" t="inlineStr">
        <is>
          <t>D</t>
        </is>
      </c>
      <c r="F626" s="77" t="n"/>
      <c r="G626" s="77" t="n"/>
      <c r="H626" s="77" t="n"/>
      <c r="I626" s="28" t="n">
        <v>2</v>
      </c>
      <c r="J626" s="62" t="inlineStr">
        <is>
          <t>Kertas Kerja Reviu</t>
        </is>
      </c>
      <c r="K626" s="78" t="inlineStr"/>
      <c r="L626" s="29" t="n"/>
      <c r="M626" s="10" t="n"/>
      <c r="N626" s="29" t="n"/>
      <c r="O626" s="29" t="n"/>
      <c r="P626" s="29" t="n"/>
      <c r="Q626" s="10" t="n"/>
      <c r="R626" s="30">
        <f>IF(OR(L626="",L626="N/A"),"",IF(L626="Tidak Ada",0,IF(P626="","",IF(P626="Tidak Sesuai",0,IF(AND(N626="Ya",O626="Ya",P626="Sesuai"),1,0.5)))))</f>
        <v/>
      </c>
      <c r="S626" s="30">
        <f>IF(L626="N/A","N/A",IF(R626="","Belum dinilai",IF(R626=1,"Memenuhi",IF(R626=0,"Tidak Memenuhi","Memenuhi Sebagian"))))</f>
        <v/>
      </c>
      <c r="T626" s="31" t="inlineStr">
        <is>
          <t>5.1-2</t>
        </is>
      </c>
      <c r="U626" s="77" t="n"/>
    </row>
    <row r="627" ht="15" customHeight="1">
      <c r="A627" s="77" t="n"/>
      <c r="B627" s="77" t="n"/>
      <c r="C627" s="77" t="n"/>
      <c r="D627" s="77" t="n"/>
      <c r="E627" s="34" t="inlineStr">
        <is>
          <t>D</t>
        </is>
      </c>
      <c r="F627" s="79" t="n"/>
      <c r="G627" s="79" t="n"/>
      <c r="H627" s="79" t="n"/>
      <c r="I627" s="28" t="n">
        <v>3</v>
      </c>
      <c r="J627" s="62" t="inlineStr">
        <is>
          <t>Laporan Hasil Reviu</t>
        </is>
      </c>
      <c r="K627" s="78" t="inlineStr"/>
      <c r="L627" s="29" t="n"/>
      <c r="M627" s="10" t="n"/>
      <c r="N627" s="29" t="n"/>
      <c r="O627" s="29" t="n"/>
      <c r="P627" s="29" t="n"/>
      <c r="Q627" s="10" t="n"/>
      <c r="R627" s="30">
        <f>IF(OR(L627="",L627="N/A"),"",IF(L627="Tidak Ada",0,IF(P627="","",IF(P627="Tidak Sesuai",0,IF(AND(N627="Ya",O627="Ya",P627="Sesuai"),1,0.5)))))</f>
        <v/>
      </c>
      <c r="S627" s="30">
        <f>IF(L627="N/A","N/A",IF(R627="","Belum dinilai",IF(R627=1,"Memenuhi",IF(R627=0,"Tidak Memenuhi","Memenuhi Sebagian"))))</f>
        <v/>
      </c>
      <c r="T627" s="31" t="inlineStr">
        <is>
          <t>5.1-2</t>
        </is>
      </c>
      <c r="U627" s="79" t="n"/>
    </row>
    <row r="628" ht="27" customHeight="1">
      <c r="A628" s="77" t="n"/>
      <c r="B628" s="77" t="n"/>
      <c r="C628" s="77" t="n"/>
      <c r="D628" s="77" t="n"/>
      <c r="E628" s="35" t="inlineStr">
        <is>
          <t>E</t>
        </is>
      </c>
      <c r="F628" s="62" t="inlineStr">
        <is>
          <t>E – Kebijakan/Formalitas</t>
        </is>
      </c>
      <c r="G628" s="62" t="inlineStr">
        <is>
          <t>Sudah dilakukan reviu atas sebagian risiko operasional unit kerja</t>
        </is>
      </c>
      <c r="H628" s="62" t="inlineStr">
        <is>
          <t>Dilakukan reviu atas sebagian risiko operasional unit kerja</t>
        </is>
      </c>
      <c r="I628" s="28" t="n">
        <v>1</v>
      </c>
      <c r="J628" s="62" t="inlineStr">
        <is>
          <t>Laporan Reviu Proses Manajemen Risiko Operasional Unit Kerja</t>
        </is>
      </c>
      <c r="K628" s="78" t="inlineStr"/>
      <c r="L628" s="29" t="n"/>
      <c r="M628" s="10" t="n"/>
      <c r="N628" s="29" t="n"/>
      <c r="O628" s="29" t="n"/>
      <c r="P628" s="29" t="n"/>
      <c r="Q628" s="10" t="n"/>
      <c r="R628" s="30">
        <f>IF(OR(L628="",L628="N/A"),"",IF(L628="Tidak Ada",0,IF(P628="","",IF(P628="Tidak Sesuai",0,IF(AND(N628="Ya",O628="Ya",P628="Sesuai"),1,0.5)))))</f>
        <v/>
      </c>
      <c r="S628" s="30">
        <f>IF(L628="N/A","N/A",IF(R628="","Belum dinilai",IF(R628=1,"Memenuhi",IF(R628=0,"Tidak Memenuhi","Memenuhi Sebagian"))))</f>
        <v/>
      </c>
      <c r="T628" s="31" t="inlineStr">
        <is>
          <t>5.1-2</t>
        </is>
      </c>
      <c r="U628" s="63">
        <f>IF(COUNT(R628:R629)=0,"",SUM(R628:R629)/COUNT(R628:R629))</f>
        <v/>
      </c>
    </row>
    <row r="629" ht="27" customHeight="1">
      <c r="A629" s="79" t="n"/>
      <c r="B629" s="79" t="n"/>
      <c r="C629" s="79" t="n"/>
      <c r="D629" s="79" t="n"/>
      <c r="E629" s="35" t="inlineStr">
        <is>
          <t>E</t>
        </is>
      </c>
      <c r="F629" s="79" t="n"/>
      <c r="G629" s="79" t="n"/>
      <c r="H629" s="79" t="n"/>
      <c r="I629" s="28" t="n">
        <v>2</v>
      </c>
      <c r="J629" s="62" t="inlineStr">
        <is>
          <t>Kertas Kerja Reviu</t>
        </is>
      </c>
      <c r="K629" s="78" t="inlineStr"/>
      <c r="L629" s="29" t="n"/>
      <c r="M629" s="10" t="n"/>
      <c r="N629" s="29" t="n"/>
      <c r="O629" s="29" t="n"/>
      <c r="P629" s="29" t="n"/>
      <c r="Q629" s="10" t="n"/>
      <c r="R629" s="30">
        <f>IF(OR(L629="",L629="N/A"),"",IF(L629="Tidak Ada",0,IF(P629="","",IF(P629="Tidak Sesuai",0,IF(AND(N629="Ya",O629="Ya",P629="Sesuai"),1,0.5)))))</f>
        <v/>
      </c>
      <c r="S629" s="30">
        <f>IF(L629="N/A","N/A",IF(R629="","Belum dinilai",IF(R629=1,"Memenuhi",IF(R629=0,"Tidak Memenuhi","Memenuhi Sebagian"))))</f>
        <v/>
      </c>
      <c r="T629" s="31" t="inlineStr">
        <is>
          <t>5.1-2</t>
        </is>
      </c>
      <c r="U629" s="79" t="n"/>
    </row>
    <row r="630" ht="39" customHeight="1">
      <c r="A630" s="56" t="inlineStr">
        <is>
          <t>5.1</t>
        </is>
      </c>
      <c r="B630" s="57" t="inlineStr">
        <is>
          <t>Pemantauan Berkelanjutan</t>
        </is>
      </c>
      <c r="C630" s="58" t="n">
        <v>3</v>
      </c>
      <c r="D630" s="59" t="inlineStr">
        <is>
          <t>Pemantauan/monitoring terhadap risiko telah dilakukan</t>
        </is>
      </c>
      <c r="E630" s="21" t="inlineStr">
        <is>
          <t>A</t>
        </is>
      </c>
      <c r="F630" s="60" t="inlineStr">
        <is>
          <t>A – Perbaikan Berkelanjutan</t>
        </is>
      </c>
      <c r="G630" s="60" t="inlineStr">
        <is>
          <t>Monitoring terhadap risiko dan tindak pengendalian dilakukan terhadap risiko operasional unit kerja, strategis unit kerja, dan strategis K/L/D secara memadai dan menjadi bahan pembelajaran bagi unit kerja</t>
        </is>
      </c>
      <c r="H630" s="60" t="inlineStr">
        <is>
          <t>Monitoring terhadap risiko dan tindak pengendalian dilakukan terhadap risiko operasional unit kerja, strategis unit kerja, dan strategis K/L/D secara memadai dan menjadi bahan pembelajaran bagi unit kerja</t>
        </is>
      </c>
      <c r="I630" s="22" t="n">
        <v>1</v>
      </c>
      <c r="J630" s="60" t="inlineStr">
        <is>
          <t>Laporan Monitoring Risiko dan RTP</t>
        </is>
      </c>
      <c r="K630" s="76" t="inlineStr"/>
      <c r="L630" s="23" t="n"/>
      <c r="M630" s="24" t="n"/>
      <c r="N630" s="23" t="n"/>
      <c r="O630" s="23" t="n"/>
      <c r="P630" s="23" t="n"/>
      <c r="Q630" s="24" t="n"/>
      <c r="R630" s="25">
        <f>IF(OR(L630="",L630="N/A"),"",IF(L630="Tidak Ada",0,IF(P630="","",IF(P630="Tidak Sesuai",0,IF(AND(N630="Ya",O630="Ya",P630="Sesuai"),1,0.5)))))</f>
        <v/>
      </c>
      <c r="S630" s="25">
        <f>IF(L630="N/A","N/A",IF(R630="","Belum dinilai",IF(R630=1,"Memenuhi",IF(R630=0,"Tidak Memenuhi","Memenuhi Sebagian"))))</f>
        <v/>
      </c>
      <c r="T630" s="26" t="inlineStr">
        <is>
          <t>5.1-3</t>
        </is>
      </c>
      <c r="U630" s="61">
        <f>IF(COUNT(R630:R633)=0,"",SUM(R630:R633)/COUNT(R630:R633))</f>
        <v/>
      </c>
    </row>
    <row r="631" ht="39" customHeight="1">
      <c r="A631" s="77" t="n"/>
      <c r="B631" s="77" t="n"/>
      <c r="C631" s="77" t="n"/>
      <c r="D631" s="77" t="n"/>
      <c r="E631" s="27" t="inlineStr">
        <is>
          <t>A</t>
        </is>
      </c>
      <c r="F631" s="77" t="n"/>
      <c r="G631" s="77" t="n"/>
      <c r="H631" s="77" t="n"/>
      <c r="I631" s="28" t="n">
        <v>2</v>
      </c>
      <c r="J631" s="62" t="inlineStr">
        <is>
          <t>Rekapitulasi Hasil Monitoring</t>
        </is>
      </c>
      <c r="K631" s="78" t="inlineStr"/>
      <c r="L631" s="29" t="n"/>
      <c r="M631" s="10" t="n"/>
      <c r="N631" s="29" t="n"/>
      <c r="O631" s="29" t="n"/>
      <c r="P631" s="29" t="n"/>
      <c r="Q631" s="10" t="n"/>
      <c r="R631" s="30">
        <f>IF(OR(L631="",L631="N/A"),"",IF(L631="Tidak Ada",0,IF(P631="","",IF(P631="Tidak Sesuai",0,IF(AND(N631="Ya",O631="Ya",P631="Sesuai"),1,0.5)))))</f>
        <v/>
      </c>
      <c r="S631" s="30">
        <f>IF(L631="N/A","N/A",IF(R631="","Belum dinilai",IF(R631=1,"Memenuhi",IF(R631=0,"Tidak Memenuhi","Memenuhi Sebagian"))))</f>
        <v/>
      </c>
      <c r="T631" s="31" t="inlineStr">
        <is>
          <t>5.1-3</t>
        </is>
      </c>
      <c r="U631" s="77" t="n"/>
    </row>
    <row r="632" ht="39" customHeight="1">
      <c r="A632" s="77" t="n"/>
      <c r="B632" s="77" t="n"/>
      <c r="C632" s="77" t="n"/>
      <c r="D632" s="77" t="n"/>
      <c r="E632" s="27" t="inlineStr">
        <is>
          <t>A</t>
        </is>
      </c>
      <c r="F632" s="77" t="n"/>
      <c r="G632" s="77" t="n"/>
      <c r="H632" s="77" t="n"/>
      <c r="I632" s="28" t="n">
        <v>3</v>
      </c>
      <c r="J632" s="62" t="inlineStr">
        <is>
          <t>Matriks Tindak Lanjut</t>
        </is>
      </c>
      <c r="K632" s="78" t="inlineStr"/>
      <c r="L632" s="29" t="n"/>
      <c r="M632" s="10" t="n"/>
      <c r="N632" s="29" t="n"/>
      <c r="O632" s="29" t="n"/>
      <c r="P632" s="29" t="n"/>
      <c r="Q632" s="10" t="n"/>
      <c r="R632" s="30">
        <f>IF(OR(L632="",L632="N/A"),"",IF(L632="Tidak Ada",0,IF(P632="","",IF(P632="Tidak Sesuai",0,IF(AND(N632="Ya",O632="Ya",P632="Sesuai"),1,0.5)))))</f>
        <v/>
      </c>
      <c r="S632" s="30">
        <f>IF(L632="N/A","N/A",IF(R632="","Belum dinilai",IF(R632=1,"Memenuhi",IF(R632=0,"Tidak Memenuhi","Memenuhi Sebagian"))))</f>
        <v/>
      </c>
      <c r="T632" s="31" t="inlineStr">
        <is>
          <t>5.1-3</t>
        </is>
      </c>
      <c r="U632" s="77" t="n"/>
    </row>
    <row r="633" ht="39" customHeight="1">
      <c r="A633" s="77" t="n"/>
      <c r="B633" s="77" t="n"/>
      <c r="C633" s="77" t="n"/>
      <c r="D633" s="77" t="n"/>
      <c r="E633" s="27" t="inlineStr">
        <is>
          <t>A</t>
        </is>
      </c>
      <c r="F633" s="79" t="n"/>
      <c r="G633" s="79" t="n"/>
      <c r="H633" s="79" t="n"/>
      <c r="I633" s="28" t="n">
        <v>4</v>
      </c>
      <c r="J633" s="62" t="inlineStr">
        <is>
          <t>Dokumen Pembelajaran/Perbaikan</t>
        </is>
      </c>
      <c r="K633" s="78" t="inlineStr"/>
      <c r="L633" s="29" t="n"/>
      <c r="M633" s="10" t="n"/>
      <c r="N633" s="29" t="n"/>
      <c r="O633" s="29" t="n"/>
      <c r="P633" s="29" t="n"/>
      <c r="Q633" s="10" t="n"/>
      <c r="R633" s="30">
        <f>IF(OR(L633="",L633="N/A"),"",IF(L633="Tidak Ada",0,IF(P633="","",IF(P633="Tidak Sesuai",0,IF(AND(N633="Ya",O633="Ya",P633="Sesuai"),1,0.5)))))</f>
        <v/>
      </c>
      <c r="S633" s="30">
        <f>IF(L633="N/A","N/A",IF(R633="","Belum dinilai",IF(R633=1,"Memenuhi",IF(R633=0,"Tidak Memenuhi","Memenuhi Sebagian"))))</f>
        <v/>
      </c>
      <c r="T633" s="31" t="inlineStr">
        <is>
          <t>5.1-3</t>
        </is>
      </c>
      <c r="U633" s="79" t="n"/>
    </row>
    <row r="634" ht="39" customHeight="1">
      <c r="A634" s="77" t="n"/>
      <c r="B634" s="77" t="n"/>
      <c r="C634" s="77" t="n"/>
      <c r="D634" s="77" t="n"/>
      <c r="E634" s="32" t="inlineStr">
        <is>
          <t>B</t>
        </is>
      </c>
      <c r="F634" s="62" t="inlineStr">
        <is>
          <t>B – Evaluasi &amp; Tindak Lanjut</t>
        </is>
      </c>
      <c r="G634" s="62" t="inlineStr">
        <is>
          <t>Monitoring terhadap risiko dan tindak pengendalian dilakukan terhadap risiko operasional unit kerja/OPD, strategis unit kerja/OPD dan strategis K/L/D secara memadai</t>
        </is>
      </c>
      <c r="H634" s="62" t="inlineStr">
        <is>
          <t>Monitoring terhadap risiko dan tindak pengendalian dilakukan terhadap risiko operasional unit kerja/OPD, strategis unit kerja/OPD dan strategis K/L/D secara memadai</t>
        </is>
      </c>
      <c r="I634" s="28" t="n">
        <v>1</v>
      </c>
      <c r="J634" s="62" t="inlineStr">
        <is>
          <t>Laporan Monitoring Risiko dan RTP</t>
        </is>
      </c>
      <c r="K634" s="78" t="inlineStr"/>
      <c r="L634" s="29" t="n"/>
      <c r="M634" s="10" t="n"/>
      <c r="N634" s="29" t="n"/>
      <c r="O634" s="29" t="n"/>
      <c r="P634" s="29" t="n"/>
      <c r="Q634" s="10" t="n"/>
      <c r="R634" s="30">
        <f>IF(OR(L634="",L634="N/A"),"",IF(L634="Tidak Ada",0,IF(P634="","",IF(P634="Tidak Sesuai",0,IF(AND(N634="Ya",O634="Ya",P634="Sesuai"),1,0.5)))))</f>
        <v/>
      </c>
      <c r="S634" s="30">
        <f>IF(L634="N/A","N/A",IF(R634="","Belum dinilai",IF(R634=1,"Memenuhi",IF(R634=0,"Tidak Memenuhi","Memenuhi Sebagian"))))</f>
        <v/>
      </c>
      <c r="T634" s="31" t="inlineStr">
        <is>
          <t>5.1-3</t>
        </is>
      </c>
      <c r="U634" s="63">
        <f>IF(COUNT(R634:R636)=0,"",SUM(R634:R636)/COUNT(R634:R636))</f>
        <v/>
      </c>
    </row>
    <row r="635" ht="39" customHeight="1">
      <c r="A635" s="77" t="n"/>
      <c r="B635" s="77" t="n"/>
      <c r="C635" s="77" t="n"/>
      <c r="D635" s="77" t="n"/>
      <c r="E635" s="32" t="inlineStr">
        <is>
          <t>B</t>
        </is>
      </c>
      <c r="F635" s="77" t="n"/>
      <c r="G635" s="77" t="n"/>
      <c r="H635" s="77" t="n"/>
      <c r="I635" s="28" t="n">
        <v>2</v>
      </c>
      <c r="J635" s="62" t="inlineStr">
        <is>
          <t>Rekapitulasi Hasil Monitoring</t>
        </is>
      </c>
      <c r="K635" s="78" t="inlineStr"/>
      <c r="L635" s="29" t="n"/>
      <c r="M635" s="10" t="n"/>
      <c r="N635" s="29" t="n"/>
      <c r="O635" s="29" t="n"/>
      <c r="P635" s="29" t="n"/>
      <c r="Q635" s="10" t="n"/>
      <c r="R635" s="30">
        <f>IF(OR(L635="",L635="N/A"),"",IF(L635="Tidak Ada",0,IF(P635="","",IF(P635="Tidak Sesuai",0,IF(AND(N635="Ya",O635="Ya",P635="Sesuai"),1,0.5)))))</f>
        <v/>
      </c>
      <c r="S635" s="30">
        <f>IF(L635="N/A","N/A",IF(R635="","Belum dinilai",IF(R635=1,"Memenuhi",IF(R635=0,"Tidak Memenuhi","Memenuhi Sebagian"))))</f>
        <v/>
      </c>
      <c r="T635" s="31" t="inlineStr">
        <is>
          <t>5.1-3</t>
        </is>
      </c>
      <c r="U635" s="77" t="n"/>
    </row>
    <row r="636" ht="39" customHeight="1">
      <c r="A636" s="77" t="n"/>
      <c r="B636" s="77" t="n"/>
      <c r="C636" s="77" t="n"/>
      <c r="D636" s="77" t="n"/>
      <c r="E636" s="32" t="inlineStr">
        <is>
          <t>B</t>
        </is>
      </c>
      <c r="F636" s="79" t="n"/>
      <c r="G636" s="79" t="n"/>
      <c r="H636" s="79" t="n"/>
      <c r="I636" s="28" t="n">
        <v>3</v>
      </c>
      <c r="J636" s="62" t="inlineStr">
        <is>
          <t>Matriks Tindak Lanjut</t>
        </is>
      </c>
      <c r="K636" s="78" t="inlineStr"/>
      <c r="L636" s="29" t="n"/>
      <c r="M636" s="10" t="n"/>
      <c r="N636" s="29" t="n"/>
      <c r="O636" s="29" t="n"/>
      <c r="P636" s="29" t="n"/>
      <c r="Q636" s="10" t="n"/>
      <c r="R636" s="30">
        <f>IF(OR(L636="",L636="N/A"),"",IF(L636="Tidak Ada",0,IF(P636="","",IF(P636="Tidak Sesuai",0,IF(AND(N636="Ya",O636="Ya",P636="Sesuai"),1,0.5)))))</f>
        <v/>
      </c>
      <c r="S636" s="30">
        <f>IF(L636="N/A","N/A",IF(R636="","Belum dinilai",IF(R636=1,"Memenuhi",IF(R636=0,"Tidak Memenuhi","Memenuhi Sebagian"))))</f>
        <v/>
      </c>
      <c r="T636" s="31" t="inlineStr">
        <is>
          <t>5.1-3</t>
        </is>
      </c>
      <c r="U636" s="79" t="n"/>
    </row>
    <row r="637" ht="39" customHeight="1">
      <c r="A637" s="77" t="n"/>
      <c r="B637" s="77" t="n"/>
      <c r="C637" s="77" t="n"/>
      <c r="D637" s="77" t="n"/>
      <c r="E637" s="33" t="inlineStr">
        <is>
          <t>C</t>
        </is>
      </c>
      <c r="F637" s="62" t="inlineStr">
        <is>
          <t>C – Implementasi</t>
        </is>
      </c>
      <c r="G637" s="62" t="inlineStr">
        <is>
          <t>Monitoring terhadap risiko dan tindak pengendalian dilakukan terhadap risiko operasional unit kerja/OPD dan strategis unit kerja/OPD secara memadai</t>
        </is>
      </c>
      <c r="H637" s="62" t="inlineStr">
        <is>
          <t>Monitoring terhadap risiko dan tindak pengendalian dilakukan terhadap risiko operasional unit kerja/OPD dan strategis unit kerja/OPD secara memadai</t>
        </is>
      </c>
      <c r="I637" s="28" t="n">
        <v>1</v>
      </c>
      <c r="J637" s="62" t="inlineStr">
        <is>
          <t>Laporan Monitoring Risiko dan RTP Operasional dan Strategis Unit Kerja</t>
        </is>
      </c>
      <c r="K637" s="78" t="inlineStr"/>
      <c r="L637" s="29" t="inlineStr">
        <is>
          <t>Ada</t>
        </is>
      </c>
      <c r="M637" s="66" t="inlineStr">
        <is>
          <t>pemantauan RTP SMS I Tahun 2026</t>
        </is>
      </c>
      <c r="N637" s="29" t="inlineStr">
        <is>
          <t>Ya</t>
        </is>
      </c>
      <c r="O637" s="29" t="inlineStr">
        <is>
          <t>Ya</t>
        </is>
      </c>
      <c r="P637" s="29" t="inlineStr">
        <is>
          <t>Sesuai</t>
        </is>
      </c>
      <c r="Q637" s="10" t="n"/>
      <c r="R637" s="30">
        <f>IF(OR(L637="",L637="N/A"),"",IF(L637="Tidak Ada",0,IF(P637="","",IF(P637="Tidak Sesuai",0,IF(AND(N637="Ya",O637="Ya",P637="Sesuai"),1,0.5)))))</f>
        <v/>
      </c>
      <c r="S637" s="30">
        <f>IF(L637="N/A","N/A",IF(R637="","Belum dinilai",IF(R637=1,"Memenuhi",IF(R637=0,"Tidak Memenuhi","Memenuhi Sebagian"))))</f>
        <v/>
      </c>
      <c r="T637" s="31" t="inlineStr">
        <is>
          <t>5.1-3</t>
        </is>
      </c>
      <c r="U637" s="63">
        <f>IF(COUNT(R637:R639)=0,"",SUM(R637:R639)/COUNT(R637:R639))</f>
        <v/>
      </c>
    </row>
    <row r="638" ht="39" customHeight="1">
      <c r="A638" s="77" t="n"/>
      <c r="B638" s="77" t="n"/>
      <c r="C638" s="77" t="n"/>
      <c r="D638" s="77" t="n"/>
      <c r="E638" s="33" t="inlineStr">
        <is>
          <t>C</t>
        </is>
      </c>
      <c r="F638" s="77" t="n"/>
      <c r="G638" s="77" t="n"/>
      <c r="H638" s="77" t="n"/>
      <c r="I638" s="28" t="n">
        <v>2</v>
      </c>
      <c r="J638" s="62" t="inlineStr">
        <is>
          <t>Checklist Monitoring</t>
        </is>
      </c>
      <c r="K638" s="78" t="inlineStr"/>
      <c r="L638" s="29" t="n"/>
      <c r="M638" s="10" t="n"/>
      <c r="N638" s="29" t="n"/>
      <c r="O638" s="29" t="n"/>
      <c r="P638" s="29" t="n"/>
      <c r="Q638" s="10" t="n"/>
      <c r="R638" s="30">
        <f>IF(OR(L638="",L638="N/A"),"",IF(L638="Tidak Ada",0,IF(P638="","",IF(P638="Tidak Sesuai",0,IF(AND(N638="Ya",O638="Ya",P638="Sesuai"),1,0.5)))))</f>
        <v/>
      </c>
      <c r="S638" s="30">
        <f>IF(L638="N/A","N/A",IF(R638="","Belum dinilai",IF(R638=1,"Memenuhi",IF(R638=0,"Tidak Memenuhi","Memenuhi Sebagian"))))</f>
        <v/>
      </c>
      <c r="T638" s="31" t="inlineStr">
        <is>
          <t>5.1-3</t>
        </is>
      </c>
      <c r="U638" s="77" t="n"/>
    </row>
    <row r="639" ht="39" customHeight="1">
      <c r="A639" s="77" t="n"/>
      <c r="B639" s="77" t="n"/>
      <c r="C639" s="77" t="n"/>
      <c r="D639" s="77" t="n"/>
      <c r="E639" s="33" t="inlineStr">
        <is>
          <t>C</t>
        </is>
      </c>
      <c r="F639" s="79" t="n"/>
      <c r="G639" s="79" t="n"/>
      <c r="H639" s="79" t="n"/>
      <c r="I639" s="28" t="n">
        <v>3</v>
      </c>
      <c r="J639" s="62" t="inlineStr">
        <is>
          <t>Bukti Tindak Lanjut</t>
        </is>
      </c>
      <c r="K639" s="78" t="inlineStr"/>
      <c r="L639" s="29" t="n"/>
      <c r="M639" s="10" t="n"/>
      <c r="N639" s="29" t="n"/>
      <c r="O639" s="29" t="n"/>
      <c r="P639" s="29" t="n"/>
      <c r="Q639" s="10" t="n"/>
      <c r="R639" s="30">
        <f>IF(OR(L639="",L639="N/A"),"",IF(L639="Tidak Ada",0,IF(P639="","",IF(P639="Tidak Sesuai",0,IF(AND(N639="Ya",O639="Ya",P639="Sesuai"),1,0.5)))))</f>
        <v/>
      </c>
      <c r="S639" s="30">
        <f>IF(L639="N/A","N/A",IF(R639="","Belum dinilai",IF(R639=1,"Memenuhi",IF(R639=0,"Tidak Memenuhi","Memenuhi Sebagian"))))</f>
        <v/>
      </c>
      <c r="T639" s="31" t="inlineStr">
        <is>
          <t>5.1-3</t>
        </is>
      </c>
      <c r="U639" s="79" t="n"/>
    </row>
    <row r="640" ht="27" customHeight="1">
      <c r="A640" s="77" t="n"/>
      <c r="B640" s="77" t="n"/>
      <c r="C640" s="77" t="n"/>
      <c r="D640" s="77" t="n"/>
      <c r="E640" s="34" t="inlineStr">
        <is>
          <t>D</t>
        </is>
      </c>
      <c r="F640" s="62" t="inlineStr">
        <is>
          <t>D – Komunikasi &amp; Pemahaman</t>
        </is>
      </c>
      <c r="G640" s="62" t="inlineStr">
        <is>
          <t>Monitoring terhadap risiko dan tindak pengendalian dilakukan terhadap risiko operasional unit kerja/OPD secara memadai</t>
        </is>
      </c>
      <c r="H640" s="62" t="inlineStr">
        <is>
          <t>Monitoring terhadap risiko dan tindak pengendalian dilakukan terhadap risiko operasional unit kerja/OPD secara memadai</t>
        </is>
      </c>
      <c r="I640" s="28" t="n">
        <v>1</v>
      </c>
      <c r="J640" s="62" t="inlineStr">
        <is>
          <t>Laporan Monitoring Risiko dan RTP Operasional Unit Kerja</t>
        </is>
      </c>
      <c r="K640" s="78" t="inlineStr"/>
      <c r="L640" s="29" t="n"/>
      <c r="M640" s="10" t="n"/>
      <c r="N640" s="29" t="n"/>
      <c r="O640" s="29" t="n"/>
      <c r="P640" s="29" t="n"/>
      <c r="Q640" s="10" t="n"/>
      <c r="R640" s="30">
        <f>IF(OR(L640="",L640="N/A"),"",IF(L640="Tidak Ada",0,IF(P640="","",IF(P640="Tidak Sesuai",0,IF(AND(N640="Ya",O640="Ya",P640="Sesuai"),1,0.5)))))</f>
        <v/>
      </c>
      <c r="S640" s="30">
        <f>IF(L640="N/A","N/A",IF(R640="","Belum dinilai",IF(R640=1,"Memenuhi",IF(R640=0,"Tidak Memenuhi","Memenuhi Sebagian"))))</f>
        <v/>
      </c>
      <c r="T640" s="31" t="inlineStr">
        <is>
          <t>5.1-3</t>
        </is>
      </c>
      <c r="U640" s="63">
        <f>IF(COUNT(R640:R642)=0,"",SUM(R640:R642)/COUNT(R640:R642))</f>
        <v/>
      </c>
    </row>
    <row r="641" ht="27" customHeight="1">
      <c r="A641" s="77" t="n"/>
      <c r="B641" s="77" t="n"/>
      <c r="C641" s="77" t="n"/>
      <c r="D641" s="77" t="n"/>
      <c r="E641" s="34" t="inlineStr">
        <is>
          <t>D</t>
        </is>
      </c>
      <c r="F641" s="77" t="n"/>
      <c r="G641" s="77" t="n"/>
      <c r="H641" s="77" t="n"/>
      <c r="I641" s="28" t="n">
        <v>2</v>
      </c>
      <c r="J641" s="62" t="inlineStr">
        <is>
          <t>Checklist Monitoring</t>
        </is>
      </c>
      <c r="K641" s="78" t="inlineStr"/>
      <c r="L641" s="29" t="n"/>
      <c r="M641" s="10" t="n"/>
      <c r="N641" s="29" t="n"/>
      <c r="O641" s="29" t="n"/>
      <c r="P641" s="29" t="n"/>
      <c r="Q641" s="10" t="n"/>
      <c r="R641" s="30">
        <f>IF(OR(L641="",L641="N/A"),"",IF(L641="Tidak Ada",0,IF(P641="","",IF(P641="Tidak Sesuai",0,IF(AND(N641="Ya",O641="Ya",P641="Sesuai"),1,0.5)))))</f>
        <v/>
      </c>
      <c r="S641" s="30">
        <f>IF(L641="N/A","N/A",IF(R641="","Belum dinilai",IF(R641=1,"Memenuhi",IF(R641=0,"Tidak Memenuhi","Memenuhi Sebagian"))))</f>
        <v/>
      </c>
      <c r="T641" s="31" t="inlineStr">
        <is>
          <t>5.1-3</t>
        </is>
      </c>
      <c r="U641" s="77" t="n"/>
    </row>
    <row r="642" ht="27" customHeight="1">
      <c r="A642" s="77" t="n"/>
      <c r="B642" s="77" t="n"/>
      <c r="C642" s="77" t="n"/>
      <c r="D642" s="77" t="n"/>
      <c r="E642" s="34" t="inlineStr">
        <is>
          <t>D</t>
        </is>
      </c>
      <c r="F642" s="79" t="n"/>
      <c r="G642" s="79" t="n"/>
      <c r="H642" s="79" t="n"/>
      <c r="I642" s="28" t="n">
        <v>3</v>
      </c>
      <c r="J642" s="62" t="inlineStr">
        <is>
          <t>Bukti Tindak Lanjut</t>
        </is>
      </c>
      <c r="K642" s="78" t="inlineStr"/>
      <c r="L642" s="29" t="n"/>
      <c r="M642" s="10" t="n"/>
      <c r="N642" s="29" t="n"/>
      <c r="O642" s="29" t="n"/>
      <c r="P642" s="29" t="n"/>
      <c r="Q642" s="10" t="n"/>
      <c r="R642" s="30">
        <f>IF(OR(L642="",L642="N/A"),"",IF(L642="Tidak Ada",0,IF(P642="","",IF(P642="Tidak Sesuai",0,IF(AND(N642="Ya",O642="Ya",P642="Sesuai"),1,0.5)))))</f>
        <v/>
      </c>
      <c r="S642" s="30">
        <f>IF(L642="N/A","N/A",IF(R642="","Belum dinilai",IF(R642=1,"Memenuhi",IF(R642=0,"Tidak Memenuhi","Memenuhi Sebagian"))))</f>
        <v/>
      </c>
      <c r="T642" s="31" t="inlineStr">
        <is>
          <t>5.1-3</t>
        </is>
      </c>
      <c r="U642" s="79" t="n"/>
    </row>
    <row r="643" ht="51" customHeight="1">
      <c r="A643" s="77" t="n"/>
      <c r="B643" s="77" t="n"/>
      <c r="C643" s="77" t="n"/>
      <c r="D643" s="77" t="n"/>
      <c r="E643" s="35" t="inlineStr">
        <is>
          <t>E</t>
        </is>
      </c>
      <c r="F643" s="62" t="inlineStr">
        <is>
          <t>E – Kebijakan/Formalitas</t>
        </is>
      </c>
      <c r="G643" s="62" t="inlineStr">
        <is>
          <t>Monitoring terhadap risiko dan tindak pengendalian dilakukan terhadap risiko operasional unit kerja/OPD namun belum memadai</t>
        </is>
      </c>
      <c r="H643" s="62" t="inlineStr">
        <is>
          <t>Organisasi telah memiliki/menetapkan monitoring terhadap risiko dan tindak pengendalian dilakukan terhadap risiko operasional unit kerja/opd namun belum memadai</t>
        </is>
      </c>
      <c r="I643" s="28" t="n">
        <v>1</v>
      </c>
      <c r="J643" s="62" t="inlineStr">
        <is>
          <t>Laporan Monitoring Risiko dan RTP Operasional Unit Kerja</t>
        </is>
      </c>
      <c r="K643" s="78" t="inlineStr"/>
      <c r="L643" s="29" t="n"/>
      <c r="M643" s="10" t="n"/>
      <c r="N643" s="29" t="n"/>
      <c r="O643" s="29" t="n"/>
      <c r="P643" s="29" t="n"/>
      <c r="Q643" s="10" t="n"/>
      <c r="R643" s="30">
        <f>IF(OR(L643="",L643="N/A"),"",IF(L643="Tidak Ada",0,IF(P643="","",IF(P643="Tidak Sesuai",0,IF(AND(N643="Ya",O643="Ya",P643="Sesuai"),1,0.5)))))</f>
        <v/>
      </c>
      <c r="S643" s="30">
        <f>IF(L643="N/A","N/A",IF(R643="","Belum dinilai",IF(R643=1,"Memenuhi",IF(R643=0,"Tidak Memenuhi","Memenuhi Sebagian"))))</f>
        <v/>
      </c>
      <c r="T643" s="31" t="inlineStr">
        <is>
          <t>5.1-3</t>
        </is>
      </c>
      <c r="U643" s="63">
        <f>IF(COUNT(R643:R644)=0,"",SUM(R643:R644)/COUNT(R643:R644))</f>
        <v/>
      </c>
    </row>
    <row r="644" ht="51" customHeight="1">
      <c r="A644" s="79" t="n"/>
      <c r="B644" s="79" t="n"/>
      <c r="C644" s="79" t="n"/>
      <c r="D644" s="79" t="n"/>
      <c r="E644" s="35" t="inlineStr">
        <is>
          <t>E</t>
        </is>
      </c>
      <c r="F644" s="79" t="n"/>
      <c r="G644" s="79" t="n"/>
      <c r="H644" s="79" t="n"/>
      <c r="I644" s="28" t="n">
        <v>2</v>
      </c>
      <c r="J644" s="62" t="inlineStr">
        <is>
          <t>Checklist Monitoring</t>
        </is>
      </c>
      <c r="K644" s="78" t="inlineStr"/>
      <c r="L644" s="29" t="n"/>
      <c r="M644" s="10" t="n"/>
      <c r="N644" s="29" t="n"/>
      <c r="O644" s="29" t="n"/>
      <c r="P644" s="29" t="n"/>
      <c r="Q644" s="10" t="n"/>
      <c r="R644" s="30">
        <f>IF(OR(L644="",L644="N/A"),"",IF(L644="Tidak Ada",0,IF(P644="","",IF(P644="Tidak Sesuai",0,IF(AND(N644="Ya",O644="Ya",P644="Sesuai"),1,0.5)))))</f>
        <v/>
      </c>
      <c r="S644" s="30">
        <f>IF(L644="N/A","N/A",IF(R644="","Belum dinilai",IF(R644=1,"Memenuhi",IF(R644=0,"Tidak Memenuhi","Memenuhi Sebagian"))))</f>
        <v/>
      </c>
      <c r="T644" s="31" t="inlineStr">
        <is>
          <t>5.1-3</t>
        </is>
      </c>
      <c r="U644" s="79" t="n"/>
    </row>
    <row r="645" ht="27" customHeight="1">
      <c r="A645" s="56" t="inlineStr">
        <is>
          <t>5.2</t>
        </is>
      </c>
      <c r="B645" s="57" t="inlineStr">
        <is>
          <t>Evaluasi Terpisah</t>
        </is>
      </c>
      <c r="C645" s="58" t="n">
        <v>1</v>
      </c>
      <c r="D645" s="59" t="inlineStr">
        <is>
          <t>Evaluasi terpisah dilakukan oleh pegawai dengan keahlian tertentu yang disyaratkan dan dapat melibatkan APIP atau auditor eksternal untuk menilai kinerja sistem pengendalian intern, mengidentifikasi kelemahan pengendalian, menentukan penyebab dari kegagalan aktivitas pengendalian, serta pengaruhnya terhadap pencapaian tujuan instansi.</t>
        </is>
      </c>
      <c r="E645" s="21" t="inlineStr">
        <is>
          <t>A</t>
        </is>
      </c>
      <c r="F645" s="60" t="inlineStr">
        <is>
          <t>A – Perbaikan Berkelanjutan</t>
        </is>
      </c>
      <c r="G645" s="60" t="inlineStr">
        <is>
          <t>Perbaikan berkelanjutan atas pelaksanaan evaluasi terpisah berdampak pada peningkatan kualitas pengendalian intern dan pencapaian tujuan organisasi</t>
        </is>
      </c>
      <c r="H645" s="60" t="inlineStr">
        <is>
          <t>Perbaikan berkelanjutan atas pelaksanaan evaluasi terpisah berdampak pada peningkatan kualitas pengendalian intern dan pencapaian tujuan organisasi</t>
        </is>
      </c>
      <c r="I645" s="22" t="n">
        <v>1</v>
      </c>
      <c r="J645" s="60" t="inlineStr">
        <is>
          <t>Laporan Evaluasi Terpisah</t>
        </is>
      </c>
      <c r="K645" s="76" t="inlineStr"/>
      <c r="L645" s="23" t="n"/>
      <c r="M645" s="24" t="n"/>
      <c r="N645" s="23" t="n"/>
      <c r="O645" s="23" t="n"/>
      <c r="P645" s="23" t="n"/>
      <c r="Q645" s="24" t="n"/>
      <c r="R645" s="25">
        <f>IF(OR(L645="",L645="N/A"),"",IF(L645="Tidak Ada",0,IF(P645="","",IF(P645="Tidak Sesuai",0,IF(AND(N645="Ya",O645="Ya",P645="Sesuai"),1,0.5)))))</f>
        <v/>
      </c>
      <c r="S645" s="25">
        <f>IF(L645="N/A","N/A",IF(R645="","Belum dinilai",IF(R645=1,"Memenuhi",IF(R645=0,"Tidak Memenuhi","Memenuhi Sebagian"))))</f>
        <v/>
      </c>
      <c r="T645" s="26" t="inlineStr">
        <is>
          <t>5.2-1</t>
        </is>
      </c>
      <c r="U645" s="61">
        <f>IF(COUNT(R645:R648)=0,"",SUM(R645:R648)/COUNT(R645:R648))</f>
        <v/>
      </c>
    </row>
    <row r="646" ht="27" customHeight="1">
      <c r="A646" s="77" t="n"/>
      <c r="B646" s="77" t="n"/>
      <c r="C646" s="77" t="n"/>
      <c r="D646" s="77" t="n"/>
      <c r="E646" s="27" t="inlineStr">
        <is>
          <t>A</t>
        </is>
      </c>
      <c r="F646" s="77" t="n"/>
      <c r="G646" s="77" t="n"/>
      <c r="H646" s="77" t="n"/>
      <c r="I646" s="28" t="n">
        <v>2</v>
      </c>
      <c r="J646" s="62" t="inlineStr">
        <is>
          <t>Rekapitulasi Tindak Lanjut</t>
        </is>
      </c>
      <c r="K646" s="78" t="inlineStr"/>
      <c r="L646" s="29" t="n"/>
      <c r="M646" s="10" t="n"/>
      <c r="N646" s="29" t="n"/>
      <c r="O646" s="29" t="n"/>
      <c r="P646" s="29" t="n"/>
      <c r="Q646" s="10" t="n"/>
      <c r="R646" s="30">
        <f>IF(OR(L646="",L646="N/A"),"",IF(L646="Tidak Ada",0,IF(P646="","",IF(P646="Tidak Sesuai",0,IF(AND(N646="Ya",O646="Ya",P646="Sesuai"),1,0.5)))))</f>
        <v/>
      </c>
      <c r="S646" s="30">
        <f>IF(L646="N/A","N/A",IF(R646="","Belum dinilai",IF(R646=1,"Memenuhi",IF(R646=0,"Tidak Memenuhi","Memenuhi Sebagian"))))</f>
        <v/>
      </c>
      <c r="T646" s="31" t="inlineStr">
        <is>
          <t>5.2-1</t>
        </is>
      </c>
      <c r="U646" s="77" t="n"/>
    </row>
    <row r="647" ht="27" customHeight="1">
      <c r="A647" s="77" t="n"/>
      <c r="B647" s="77" t="n"/>
      <c r="C647" s="77" t="n"/>
      <c r="D647" s="77" t="n"/>
      <c r="E647" s="27" t="inlineStr">
        <is>
          <t>A</t>
        </is>
      </c>
      <c r="F647" s="77" t="n"/>
      <c r="G647" s="77" t="n"/>
      <c r="H647" s="77" t="n"/>
      <c r="I647" s="28" t="n">
        <v>3</v>
      </c>
      <c r="J647" s="62" t="inlineStr">
        <is>
          <t>Bukti Perbaikan Pengendalian</t>
        </is>
      </c>
      <c r="K647" s="78" t="inlineStr"/>
      <c r="L647" s="29" t="n"/>
      <c r="M647" s="10" t="n"/>
      <c r="N647" s="29" t="n"/>
      <c r="O647" s="29" t="n"/>
      <c r="P647" s="29" t="n"/>
      <c r="Q647" s="10" t="n"/>
      <c r="R647" s="30">
        <f>IF(OR(L647="",L647="N/A"),"",IF(L647="Tidak Ada",0,IF(P647="","",IF(P647="Tidak Sesuai",0,IF(AND(N647="Ya",O647="Ya",P647="Sesuai"),1,0.5)))))</f>
        <v/>
      </c>
      <c r="S647" s="30">
        <f>IF(L647="N/A","N/A",IF(R647="","Belum dinilai",IF(R647=1,"Memenuhi",IF(R647=0,"Tidak Memenuhi","Memenuhi Sebagian"))))</f>
        <v/>
      </c>
      <c r="T647" s="31" t="inlineStr">
        <is>
          <t>5.2-1</t>
        </is>
      </c>
      <c r="U647" s="77" t="n"/>
    </row>
    <row r="648" ht="27" customHeight="1">
      <c r="A648" s="77" t="n"/>
      <c r="B648" s="77" t="n"/>
      <c r="C648" s="77" t="n"/>
      <c r="D648" s="77" t="n"/>
      <c r="E648" s="27" t="inlineStr">
        <is>
          <t>A</t>
        </is>
      </c>
      <c r="F648" s="79" t="n"/>
      <c r="G648" s="79" t="n"/>
      <c r="H648" s="79" t="n"/>
      <c r="I648" s="28" t="n">
        <v>4</v>
      </c>
      <c r="J648" s="62" t="inlineStr">
        <is>
          <t>Laporan Dampak terhadap Risiko/Kinerja</t>
        </is>
      </c>
      <c r="K648" s="78" t="inlineStr"/>
      <c r="L648" s="29" t="n"/>
      <c r="M648" s="10" t="n"/>
      <c r="N648" s="29" t="n"/>
      <c r="O648" s="29" t="n"/>
      <c r="P648" s="29" t="n"/>
      <c r="Q648" s="10" t="n"/>
      <c r="R648" s="30">
        <f>IF(OR(L648="",L648="N/A"),"",IF(L648="Tidak Ada",0,IF(P648="","",IF(P648="Tidak Sesuai",0,IF(AND(N648="Ya",O648="Ya",P648="Sesuai"),1,0.5)))))</f>
        <v/>
      </c>
      <c r="S648" s="30">
        <f>IF(L648="N/A","N/A",IF(R648="","Belum dinilai",IF(R648=1,"Memenuhi",IF(R648=0,"Tidak Memenuhi","Memenuhi Sebagian"))))</f>
        <v/>
      </c>
      <c r="T648" s="31" t="inlineStr">
        <is>
          <t>5.2-1</t>
        </is>
      </c>
      <c r="U648" s="79" t="n"/>
    </row>
    <row r="649" ht="27" customHeight="1">
      <c r="A649" s="77" t="n"/>
      <c r="B649" s="77" t="n"/>
      <c r="C649" s="77" t="n"/>
      <c r="D649" s="77" t="n"/>
      <c r="E649" s="32" t="inlineStr">
        <is>
          <t>B</t>
        </is>
      </c>
      <c r="F649" s="62" t="inlineStr">
        <is>
          <t>B – Evaluasi &amp; Tindak Lanjut</t>
        </is>
      </c>
      <c r="G649" s="62" t="inlineStr">
        <is>
          <t>Seluruh hasil evaluasi terpisah dikelola dan ditindaklanjuti</t>
        </is>
      </c>
      <c r="H649" s="62" t="inlineStr">
        <is>
          <t>Seluruh hasil evaluasi terpisah dikelola dan ditindaklanjuti</t>
        </is>
      </c>
      <c r="I649" s="28" t="n">
        <v>1</v>
      </c>
      <c r="J649" s="62" t="inlineStr">
        <is>
          <t>Rekapitulasi Hasil Evaluasi Terpisah</t>
        </is>
      </c>
      <c r="K649" s="78" t="inlineStr"/>
      <c r="L649" s="29" t="n"/>
      <c r="M649" s="10" t="n"/>
      <c r="N649" s="29" t="n"/>
      <c r="O649" s="29" t="n"/>
      <c r="P649" s="29" t="n"/>
      <c r="Q649" s="10" t="n"/>
      <c r="R649" s="30">
        <f>IF(OR(L649="",L649="N/A"),"",IF(L649="Tidak Ada",0,IF(P649="","",IF(P649="Tidak Sesuai",0,IF(AND(N649="Ya",O649="Ya",P649="Sesuai"),1,0.5)))))</f>
        <v/>
      </c>
      <c r="S649" s="30">
        <f>IF(L649="N/A","N/A",IF(R649="","Belum dinilai",IF(R649=1,"Memenuhi",IF(R649=0,"Tidak Memenuhi","Memenuhi Sebagian"))))</f>
        <v/>
      </c>
      <c r="T649" s="31" t="inlineStr">
        <is>
          <t>5.2-1</t>
        </is>
      </c>
      <c r="U649" s="63">
        <f>IF(COUNT(R649:R651)=0,"",SUM(R649:R651)/COUNT(R649:R651))</f>
        <v/>
      </c>
    </row>
    <row r="650" ht="15" customHeight="1">
      <c r="A650" s="77" t="n"/>
      <c r="B650" s="77" t="n"/>
      <c r="C650" s="77" t="n"/>
      <c r="D650" s="77" t="n"/>
      <c r="E650" s="32" t="inlineStr">
        <is>
          <t>B</t>
        </is>
      </c>
      <c r="F650" s="77" t="n"/>
      <c r="G650" s="77" t="n"/>
      <c r="H650" s="77" t="n"/>
      <c r="I650" s="28" t="n">
        <v>2</v>
      </c>
      <c r="J650" s="62" t="inlineStr">
        <is>
          <t>Laporan Monitoring Tindak Lanjut</t>
        </is>
      </c>
      <c r="K650" s="78" t="inlineStr"/>
      <c r="L650" s="29" t="n"/>
      <c r="M650" s="10" t="n"/>
      <c r="N650" s="29" t="n"/>
      <c r="O650" s="29" t="n"/>
      <c r="P650" s="29" t="n"/>
      <c r="Q650" s="10" t="n"/>
      <c r="R650" s="30">
        <f>IF(OR(L650="",L650="N/A"),"",IF(L650="Tidak Ada",0,IF(P650="","",IF(P650="Tidak Sesuai",0,IF(AND(N650="Ya",O650="Ya",P650="Sesuai"),1,0.5)))))</f>
        <v/>
      </c>
      <c r="S650" s="30">
        <f>IF(L650="N/A","N/A",IF(R650="","Belum dinilai",IF(R650=1,"Memenuhi",IF(R650=0,"Tidak Memenuhi","Memenuhi Sebagian"))))</f>
        <v/>
      </c>
      <c r="T650" s="31" t="inlineStr">
        <is>
          <t>5.2-1</t>
        </is>
      </c>
      <c r="U650" s="77" t="n"/>
    </row>
    <row r="651" ht="15" customHeight="1">
      <c r="A651" s="77" t="n"/>
      <c r="B651" s="77" t="n"/>
      <c r="C651" s="77" t="n"/>
      <c r="D651" s="77" t="n"/>
      <c r="E651" s="32" t="inlineStr">
        <is>
          <t>B</t>
        </is>
      </c>
      <c r="F651" s="79" t="n"/>
      <c r="G651" s="79" t="n"/>
      <c r="H651" s="79" t="n"/>
      <c r="I651" s="28" t="n">
        <v>3</v>
      </c>
      <c r="J651" s="62" t="inlineStr">
        <is>
          <t>Matriks Tindak Lanjut</t>
        </is>
      </c>
      <c r="K651" s="78" t="inlineStr"/>
      <c r="L651" s="29" t="n"/>
      <c r="M651" s="10" t="n"/>
      <c r="N651" s="29" t="n"/>
      <c r="O651" s="29" t="n"/>
      <c r="P651" s="29" t="n"/>
      <c r="Q651" s="10" t="n"/>
      <c r="R651" s="30">
        <f>IF(OR(L651="",L651="N/A"),"",IF(L651="Tidak Ada",0,IF(P651="","",IF(P651="Tidak Sesuai",0,IF(AND(N651="Ya",O651="Ya",P651="Sesuai"),1,0.5)))))</f>
        <v/>
      </c>
      <c r="S651" s="30">
        <f>IF(L651="N/A","N/A",IF(R651="","Belum dinilai",IF(R651=1,"Memenuhi",IF(R651=0,"Tidak Memenuhi","Memenuhi Sebagian"))))</f>
        <v/>
      </c>
      <c r="T651" s="31" t="inlineStr">
        <is>
          <t>5.2-1</t>
        </is>
      </c>
      <c r="U651" s="79" t="n"/>
    </row>
    <row r="652" ht="39" customHeight="1">
      <c r="A652" s="77" t="n"/>
      <c r="B652" s="77" t="n"/>
      <c r="C652" s="77" t="n"/>
      <c r="D652" s="77" t="n"/>
      <c r="E652" s="33" t="inlineStr">
        <is>
          <t>C</t>
        </is>
      </c>
      <c r="F652" s="62" t="inlineStr">
        <is>
          <t>C – Implementasi</t>
        </is>
      </c>
      <c r="G652" s="62" t="inlineStr">
        <is>
          <t>Evaluasi terpisah telah dilaksanakan pada seluruh aktivitas pengendalian dan seluruh program dan kegiatan serta dilaksanakan oleh pihak yang kompeten dan dengan metodologi yang tepat, namun hasil evaluasi terpisah belum ditindaklanjuti seluruhnya</t>
        </is>
      </c>
      <c r="H652" s="62" t="inlineStr">
        <is>
          <t>Evaluasi terpisah telah dilaksanakan pada seluruh aktivitas pengendalian dan seluruh program dan kegiatan serta dilaksanakan oleh pihak yang kompeten dan dengan metodologi yang tepat, namun hasil evaluasi terpisah belum ditindaklanjuti seluruhnya</t>
        </is>
      </c>
      <c r="I652" s="28" t="n">
        <v>1</v>
      </c>
      <c r="J652" s="62" t="inlineStr">
        <is>
          <t>Laporan Evaluasi Terpisah</t>
        </is>
      </c>
      <c r="K652" s="78" t="inlineStr"/>
      <c r="L652" s="29" t="inlineStr">
        <is>
          <t>Ada</t>
        </is>
      </c>
      <c r="M652" s="66" t="inlineStr">
        <is>
          <t>PM SAKIP, PM SPIP Tahun 2026</t>
        </is>
      </c>
      <c r="N652" s="29" t="inlineStr">
        <is>
          <t>Ya</t>
        </is>
      </c>
      <c r="O652" s="29" t="inlineStr">
        <is>
          <t>Ya</t>
        </is>
      </c>
      <c r="P652" s="29" t="inlineStr">
        <is>
          <t>Sesuai</t>
        </is>
      </c>
      <c r="Q652" s="10" t="n"/>
      <c r="R652" s="30">
        <f>IF(OR(L652="",L652="N/A"),"",IF(L652="Tidak Ada",0,IF(P652="","",IF(P652="Tidak Sesuai",0,IF(AND(N652="Ya",O652="Ya",P652="Sesuai"),1,0.5)))))</f>
        <v/>
      </c>
      <c r="S652" s="30">
        <f>IF(L652="N/A","N/A",IF(R652="","Belum dinilai",IF(R652=1,"Memenuhi",IF(R652=0,"Tidak Memenuhi","Memenuhi Sebagian"))))</f>
        <v/>
      </c>
      <c r="T652" s="31" t="inlineStr">
        <is>
          <t>5.2-1</t>
        </is>
      </c>
      <c r="U652" s="63">
        <f>IF(COUNT(R652:R655)=0,"",SUM(R652:R655)/COUNT(R652:R655))</f>
        <v/>
      </c>
    </row>
    <row r="653" ht="39" customHeight="1">
      <c r="A653" s="77" t="n"/>
      <c r="B653" s="77" t="n"/>
      <c r="C653" s="77" t="n"/>
      <c r="D653" s="77" t="n"/>
      <c r="E653" s="33" t="inlineStr">
        <is>
          <t>C</t>
        </is>
      </c>
      <c r="F653" s="77" t="n"/>
      <c r="G653" s="77" t="n"/>
      <c r="H653" s="77" t="n"/>
      <c r="I653" s="28" t="n">
        <v>2</v>
      </c>
      <c r="J653" s="62" t="inlineStr">
        <is>
          <t>Kertas Kerja Evaluasi</t>
        </is>
      </c>
      <c r="K653" s="78" t="inlineStr"/>
      <c r="L653" s="29" t="n"/>
      <c r="M653" s="10" t="n"/>
      <c r="N653" s="29" t="n"/>
      <c r="O653" s="29" t="n"/>
      <c r="P653" s="29" t="n"/>
      <c r="Q653" s="10" t="n"/>
      <c r="R653" s="30">
        <f>IF(OR(L653="",L653="N/A"),"",IF(L653="Tidak Ada",0,IF(P653="","",IF(P653="Tidak Sesuai",0,IF(AND(N653="Ya",O653="Ya",P653="Sesuai"),1,0.5)))))</f>
        <v/>
      </c>
      <c r="S653" s="30">
        <f>IF(L653="N/A","N/A",IF(R653="","Belum dinilai",IF(R653=1,"Memenuhi",IF(R653=0,"Tidak Memenuhi","Memenuhi Sebagian"))))</f>
        <v/>
      </c>
      <c r="T653" s="31" t="inlineStr">
        <is>
          <t>5.2-1</t>
        </is>
      </c>
      <c r="U653" s="77" t="n"/>
    </row>
    <row r="654" ht="39" customHeight="1">
      <c r="A654" s="77" t="n"/>
      <c r="B654" s="77" t="n"/>
      <c r="C654" s="77" t="n"/>
      <c r="D654" s="77" t="n"/>
      <c r="E654" s="33" t="inlineStr">
        <is>
          <t>C</t>
        </is>
      </c>
      <c r="F654" s="77" t="n"/>
      <c r="G654" s="77" t="n"/>
      <c r="H654" s="77" t="n"/>
      <c r="I654" s="28" t="n">
        <v>3</v>
      </c>
      <c r="J654" s="62" t="inlineStr">
        <is>
          <t>Laporan Hasil Evaluasi</t>
        </is>
      </c>
      <c r="K654" s="78" t="inlineStr"/>
      <c r="L654" s="29" t="n"/>
      <c r="M654" s="10" t="n"/>
      <c r="N654" s="29" t="n"/>
      <c r="O654" s="29" t="n"/>
      <c r="P654" s="29" t="n"/>
      <c r="Q654" s="10" t="n"/>
      <c r="R654" s="30">
        <f>IF(OR(L654="",L654="N/A"),"",IF(L654="Tidak Ada",0,IF(P654="","",IF(P654="Tidak Sesuai",0,IF(AND(N654="Ya",O654="Ya",P654="Sesuai"),1,0.5)))))</f>
        <v/>
      </c>
      <c r="S654" s="30">
        <f>IF(L654="N/A","N/A",IF(R654="","Belum dinilai",IF(R654=1,"Memenuhi",IF(R654=0,"Tidak Memenuhi","Memenuhi Sebagian"))))</f>
        <v/>
      </c>
      <c r="T654" s="31" t="inlineStr">
        <is>
          <t>5.2-1</t>
        </is>
      </c>
      <c r="U654" s="77" t="n"/>
    </row>
    <row r="655" ht="39" customHeight="1">
      <c r="A655" s="77" t="n"/>
      <c r="B655" s="77" t="n"/>
      <c r="C655" s="77" t="n"/>
      <c r="D655" s="77" t="n"/>
      <c r="E655" s="33" t="inlineStr">
        <is>
          <t>C</t>
        </is>
      </c>
      <c r="F655" s="79" t="n"/>
      <c r="G655" s="79" t="n"/>
      <c r="H655" s="79" t="n"/>
      <c r="I655" s="28" t="n">
        <v>4</v>
      </c>
      <c r="J655" s="62" t="inlineStr">
        <is>
          <t>Bukti Tindak Lanjut Sebagian</t>
        </is>
      </c>
      <c r="K655" s="78" t="inlineStr"/>
      <c r="L655" s="29" t="n"/>
      <c r="M655" s="10" t="n"/>
      <c r="N655" s="29" t="n"/>
      <c r="O655" s="29" t="n"/>
      <c r="P655" s="29" t="n"/>
      <c r="Q655" s="10" t="n"/>
      <c r="R655" s="30">
        <f>IF(OR(L655="",L655="N/A"),"",IF(L655="Tidak Ada",0,IF(P655="","",IF(P655="Tidak Sesuai",0,IF(AND(N655="Ya",O655="Ya",P655="Sesuai"),1,0.5)))))</f>
        <v/>
      </c>
      <c r="S655" s="30">
        <f>IF(L655="N/A","N/A",IF(R655="","Belum dinilai",IF(R655=1,"Memenuhi",IF(R655=0,"Tidak Memenuhi","Memenuhi Sebagian"))))</f>
        <v/>
      </c>
      <c r="T655" s="31" t="inlineStr">
        <is>
          <t>5.2-1</t>
        </is>
      </c>
      <c r="U655" s="79" t="n"/>
    </row>
    <row r="656" ht="39" customHeight="1">
      <c r="A656" s="77" t="n"/>
      <c r="B656" s="77" t="n"/>
      <c r="C656" s="77" t="n"/>
      <c r="D656" s="77" t="n"/>
      <c r="E656" s="34" t="inlineStr">
        <is>
          <t>D</t>
        </is>
      </c>
      <c r="F656" s="62" t="inlineStr">
        <is>
          <t>D – Komunikasi &amp; Pemahaman</t>
        </is>
      </c>
      <c r="G656" s="62" t="inlineStr">
        <is>
          <t>Evaluasi terpisah telah dilaksanakan pada sebagian aktivitas pengendalian dan seluruh program dan kegiatan serta dilaksanakan oleh pihak yang kompeten dengan metodologi yang tepat</t>
        </is>
      </c>
      <c r="H656" s="62" t="inlineStr">
        <is>
          <t>Evaluasi terpisah telah dilaksanakan pada sebagian aktivitas pengendalian dan seluruh program dan kegiatan serta dilaksanakan oleh pihak yang kompeten dengan metodologi yang tepat</t>
        </is>
      </c>
      <c r="I656" s="28" t="n">
        <v>1</v>
      </c>
      <c r="J656" s="62" t="inlineStr">
        <is>
          <t>Laporan Evaluasi Terpisah</t>
        </is>
      </c>
      <c r="K656" s="78" t="inlineStr"/>
      <c r="L656" s="29" t="n"/>
      <c r="M656" s="10" t="n"/>
      <c r="N656" s="29" t="n"/>
      <c r="O656" s="29" t="n"/>
      <c r="P656" s="29" t="n"/>
      <c r="Q656" s="10" t="n"/>
      <c r="R656" s="30">
        <f>IF(OR(L656="",L656="N/A"),"",IF(L656="Tidak Ada",0,IF(P656="","",IF(P656="Tidak Sesuai",0,IF(AND(N656="Ya",O656="Ya",P656="Sesuai"),1,0.5)))))</f>
        <v/>
      </c>
      <c r="S656" s="30">
        <f>IF(L656="N/A","N/A",IF(R656="","Belum dinilai",IF(R656=1,"Memenuhi",IF(R656=0,"Tidak Memenuhi","Memenuhi Sebagian"))))</f>
        <v/>
      </c>
      <c r="T656" s="31" t="inlineStr">
        <is>
          <t>5.2-1</t>
        </is>
      </c>
      <c r="U656" s="63">
        <f>IF(COUNT(R656:R658)=0,"",SUM(R656:R658)/COUNT(R656:R658))</f>
        <v/>
      </c>
    </row>
    <row r="657" ht="39" customHeight="1">
      <c r="A657" s="77" t="n"/>
      <c r="B657" s="77" t="n"/>
      <c r="C657" s="77" t="n"/>
      <c r="D657" s="77" t="n"/>
      <c r="E657" s="34" t="inlineStr">
        <is>
          <t>D</t>
        </is>
      </c>
      <c r="F657" s="77" t="n"/>
      <c r="G657" s="77" t="n"/>
      <c r="H657" s="77" t="n"/>
      <c r="I657" s="28" t="n">
        <v>2</v>
      </c>
      <c r="J657" s="62" t="inlineStr">
        <is>
          <t>Kertas Kerja Evaluasi</t>
        </is>
      </c>
      <c r="K657" s="78" t="inlineStr"/>
      <c r="L657" s="29" t="n"/>
      <c r="M657" s="10" t="n"/>
      <c r="N657" s="29" t="n"/>
      <c r="O657" s="29" t="n"/>
      <c r="P657" s="29" t="n"/>
      <c r="Q657" s="10" t="n"/>
      <c r="R657" s="30">
        <f>IF(OR(L657="",L657="N/A"),"",IF(L657="Tidak Ada",0,IF(P657="","",IF(P657="Tidak Sesuai",0,IF(AND(N657="Ya",O657="Ya",P657="Sesuai"),1,0.5)))))</f>
        <v/>
      </c>
      <c r="S657" s="30">
        <f>IF(L657="N/A","N/A",IF(R657="","Belum dinilai",IF(R657=1,"Memenuhi",IF(R657=0,"Tidak Memenuhi","Memenuhi Sebagian"))))</f>
        <v/>
      </c>
      <c r="T657" s="31" t="inlineStr">
        <is>
          <t>5.2-1</t>
        </is>
      </c>
      <c r="U657" s="77" t="n"/>
    </row>
    <row r="658" ht="39" customHeight="1">
      <c r="A658" s="77" t="n"/>
      <c r="B658" s="77" t="n"/>
      <c r="C658" s="77" t="n"/>
      <c r="D658" s="77" t="n"/>
      <c r="E658" s="34" t="inlineStr">
        <is>
          <t>D</t>
        </is>
      </c>
      <c r="F658" s="79" t="n"/>
      <c r="G658" s="79" t="n"/>
      <c r="H658" s="79" t="n"/>
      <c r="I658" s="28" t="n">
        <v>3</v>
      </c>
      <c r="J658" s="62" t="inlineStr">
        <is>
          <t>Laporan Hasil Evaluasi</t>
        </is>
      </c>
      <c r="K658" s="78" t="inlineStr"/>
      <c r="L658" s="29" t="n"/>
      <c r="M658" s="10" t="n"/>
      <c r="N658" s="29" t="n"/>
      <c r="O658" s="29" t="n"/>
      <c r="P658" s="29" t="n"/>
      <c r="Q658" s="10" t="n"/>
      <c r="R658" s="30">
        <f>IF(OR(L658="",L658="N/A"),"",IF(L658="Tidak Ada",0,IF(P658="","",IF(P658="Tidak Sesuai",0,IF(AND(N658="Ya",O658="Ya",P658="Sesuai"),1,0.5)))))</f>
        <v/>
      </c>
      <c r="S658" s="30">
        <f>IF(L658="N/A","N/A",IF(R658="","Belum dinilai",IF(R658=1,"Memenuhi",IF(R658=0,"Tidak Memenuhi","Memenuhi Sebagian"))))</f>
        <v/>
      </c>
      <c r="T658" s="31" t="inlineStr">
        <is>
          <t>5.2-1</t>
        </is>
      </c>
      <c r="U658" s="79" t="n"/>
    </row>
    <row r="659" ht="75" customHeight="1">
      <c r="A659" s="79" t="n"/>
      <c r="B659" s="79" t="n"/>
      <c r="C659" s="79" t="n"/>
      <c r="D659" s="79" t="n"/>
      <c r="E659" s="35" t="inlineStr">
        <is>
          <t>E</t>
        </is>
      </c>
      <c r="F659" s="62" t="inlineStr">
        <is>
          <t>E – Kebijakan/Formalitas</t>
        </is>
      </c>
      <c r="G659" s="62" t="inlineStr">
        <is>
          <t>Evaluasi terpisah atas pengendalian intern dan pelaksanaan program/kegiatan telah dilaksanakan</t>
        </is>
      </c>
      <c r="H659" s="62" t="inlineStr">
        <is>
          <t>Organisasi telah memiliki/menetapkan evaluasi terpisah atas pengendalian intern dan pelaksanaan program/kegiatan telah dilaksanakan</t>
        </is>
      </c>
      <c r="I659" s="28" t="n">
        <v>1</v>
      </c>
      <c r="J659" s="62" t="inlineStr">
        <is>
          <t>Laporan Evaluasi Terpisah atas Pengendalian Intern dan Program/Kegiatan</t>
        </is>
      </c>
      <c r="K659" s="78" t="inlineStr"/>
      <c r="L659" s="29" t="n"/>
      <c r="M659" s="10" t="n"/>
      <c r="N659" s="29" t="n"/>
      <c r="O659" s="29" t="n"/>
      <c r="P659" s="29" t="n"/>
      <c r="Q659" s="10" t="n"/>
      <c r="R659" s="30">
        <f>IF(OR(L659="",L659="N/A"),"",IF(L659="Tidak Ada",0,IF(P659="","",IF(P659="Tidak Sesuai",0,IF(AND(N659="Ya",O659="Ya",P659="Sesuai"),1,0.5)))))</f>
        <v/>
      </c>
      <c r="S659" s="30">
        <f>IF(L659="N/A","N/A",IF(R659="","Belum dinilai",IF(R659=1,"Memenuhi",IF(R659=0,"Tidak Memenuhi","Memenuhi Sebagian"))))</f>
        <v/>
      </c>
      <c r="T659" s="31" t="inlineStr">
        <is>
          <t>5.2-1</t>
        </is>
      </c>
      <c r="U659" s="63">
        <f>IF(COUNT(R659:R659)=0,"",SUM(R659:R659)/COUNT(R659:R659))</f>
        <v/>
      </c>
    </row>
    <row r="660" ht="27" customHeight="1">
      <c r="A660" s="56" t="inlineStr">
        <is>
          <t>5.2</t>
        </is>
      </c>
      <c r="B660" s="57" t="inlineStr">
        <is>
          <t>Evaluasi Terpisah</t>
        </is>
      </c>
      <c r="C660" s="58" t="n">
        <v>2</v>
      </c>
      <c r="D660" s="59" t="inlineStr">
        <is>
          <t>Terdapat reviu independen terhadap proses manajemen risiko</t>
        </is>
      </c>
      <c r="E660" s="21" t="inlineStr">
        <is>
          <t>A</t>
        </is>
      </c>
      <c r="F660" s="60" t="inlineStr">
        <is>
          <t>A – Perbaikan Berkelanjutan</t>
        </is>
      </c>
      <c r="G660" s="60" t="inlineStr">
        <is>
          <t>Reviu terhadap proses tindak pengendalian risiko tingkat operasional unit kerja/OPD, strategis unit kerja/OPD, dan strategis K/L/D sangat memadai</t>
        </is>
      </c>
      <c r="H660" s="60" t="inlineStr">
        <is>
          <t>Reviu terhadap proses tindak pengendalian risiko tingkat operasional unit kerja/OPD, strategis unit kerja/OPD, dan strategis K/L/D sangat memadai</t>
        </is>
      </c>
      <c r="I660" s="22" t="n">
        <v>1</v>
      </c>
      <c r="J660" s="60" t="inlineStr">
        <is>
          <t>Pedoman Reviu Manajemen Risiko</t>
        </is>
      </c>
      <c r="K660" s="76" t="inlineStr"/>
      <c r="L660" s="23" t="n"/>
      <c r="M660" s="24" t="n"/>
      <c r="N660" s="23" t="n"/>
      <c r="O660" s="23" t="n"/>
      <c r="P660" s="23" t="n"/>
      <c r="Q660" s="24" t="n"/>
      <c r="R660" s="25">
        <f>IF(OR(L660="",L660="N/A"),"",IF(L660="Tidak Ada",0,IF(P660="","",IF(P660="Tidak Sesuai",0,IF(AND(N660="Ya",O660="Ya",P660="Sesuai"),1,0.5)))))</f>
        <v/>
      </c>
      <c r="S660" s="25">
        <f>IF(L660="N/A","N/A",IF(R660="","Belum dinilai",IF(R660=1,"Memenuhi",IF(R660=0,"Tidak Memenuhi","Memenuhi Sebagian"))))</f>
        <v/>
      </c>
      <c r="T660" s="26" t="inlineStr">
        <is>
          <t>5.2-2</t>
        </is>
      </c>
      <c r="U660" s="61">
        <f>IF(COUNT(R660:R664)=0,"",SUM(R660:R664)/COUNT(R660:R664))</f>
        <v/>
      </c>
    </row>
    <row r="661" ht="27" customHeight="1">
      <c r="A661" s="77" t="n"/>
      <c r="B661" s="77" t="n"/>
      <c r="C661" s="77" t="n"/>
      <c r="D661" s="77" t="n"/>
      <c r="E661" s="27" t="inlineStr">
        <is>
          <t>A</t>
        </is>
      </c>
      <c r="F661" s="77" t="n"/>
      <c r="G661" s="77" t="n"/>
      <c r="H661" s="77" t="n"/>
      <c r="I661" s="28" t="n">
        <v>2</v>
      </c>
      <c r="J661" s="62" t="inlineStr">
        <is>
          <t>Laporan Reviu Independen APIP</t>
        </is>
      </c>
      <c r="K661" s="78" t="inlineStr"/>
      <c r="L661" s="29" t="n"/>
      <c r="M661" s="10" t="n"/>
      <c r="N661" s="29" t="n"/>
      <c r="O661" s="29" t="n"/>
      <c r="P661" s="29" t="n"/>
      <c r="Q661" s="10" t="n"/>
      <c r="R661" s="30">
        <f>IF(OR(L661="",L661="N/A"),"",IF(L661="Tidak Ada",0,IF(P661="","",IF(P661="Tidak Sesuai",0,IF(AND(N661="Ya",O661="Ya",P661="Sesuai"),1,0.5)))))</f>
        <v/>
      </c>
      <c r="S661" s="30">
        <f>IF(L661="N/A","N/A",IF(R661="","Belum dinilai",IF(R661=1,"Memenuhi",IF(R661=0,"Tidak Memenuhi","Memenuhi Sebagian"))))</f>
        <v/>
      </c>
      <c r="T661" s="31" t="inlineStr">
        <is>
          <t>5.2-2</t>
        </is>
      </c>
      <c r="U661" s="77" t="n"/>
    </row>
    <row r="662" ht="27" customHeight="1">
      <c r="A662" s="77" t="n"/>
      <c r="B662" s="77" t="n"/>
      <c r="C662" s="77" t="n"/>
      <c r="D662" s="77" t="n"/>
      <c r="E662" s="27" t="inlineStr">
        <is>
          <t>A</t>
        </is>
      </c>
      <c r="F662" s="77" t="n"/>
      <c r="G662" s="77" t="n"/>
      <c r="H662" s="77" t="n"/>
      <c r="I662" s="28" t="n">
        <v>3</v>
      </c>
      <c r="J662" s="62" t="inlineStr">
        <is>
          <t>Kertas Kerja Reviu</t>
        </is>
      </c>
      <c r="K662" s="78" t="inlineStr"/>
      <c r="L662" s="29" t="n"/>
      <c r="M662" s="10" t="n"/>
      <c r="N662" s="29" t="n"/>
      <c r="O662" s="29" t="n"/>
      <c r="P662" s="29" t="n"/>
      <c r="Q662" s="10" t="n"/>
      <c r="R662" s="30">
        <f>IF(OR(L662="",L662="N/A"),"",IF(L662="Tidak Ada",0,IF(P662="","",IF(P662="Tidak Sesuai",0,IF(AND(N662="Ya",O662="Ya",P662="Sesuai"),1,0.5)))))</f>
        <v/>
      </c>
      <c r="S662" s="30">
        <f>IF(L662="N/A","N/A",IF(R662="","Belum dinilai",IF(R662=1,"Memenuhi",IF(R662=0,"Tidak Memenuhi","Memenuhi Sebagian"))))</f>
        <v/>
      </c>
      <c r="T662" s="31" t="inlineStr">
        <is>
          <t>5.2-2</t>
        </is>
      </c>
      <c r="U662" s="77" t="n"/>
    </row>
    <row r="663" ht="27" customHeight="1">
      <c r="A663" s="77" t="n"/>
      <c r="B663" s="77" t="n"/>
      <c r="C663" s="77" t="n"/>
      <c r="D663" s="77" t="n"/>
      <c r="E663" s="27" t="inlineStr">
        <is>
          <t>A</t>
        </is>
      </c>
      <c r="F663" s="77" t="n"/>
      <c r="G663" s="77" t="n"/>
      <c r="H663" s="77" t="n"/>
      <c r="I663" s="28" t="n">
        <v>4</v>
      </c>
      <c r="J663" s="62" t="inlineStr">
        <is>
          <t>Laporan Tindak Lanjut</t>
        </is>
      </c>
      <c r="K663" s="78" t="inlineStr"/>
      <c r="L663" s="29" t="n"/>
      <c r="M663" s="10" t="n"/>
      <c r="N663" s="29" t="n"/>
      <c r="O663" s="29" t="n"/>
      <c r="P663" s="29" t="n"/>
      <c r="Q663" s="10" t="n"/>
      <c r="R663" s="30">
        <f>IF(OR(L663="",L663="N/A"),"",IF(L663="Tidak Ada",0,IF(P663="","",IF(P663="Tidak Sesuai",0,IF(AND(N663="Ya",O663="Ya",P663="Sesuai"),1,0.5)))))</f>
        <v/>
      </c>
      <c r="S663" s="30">
        <f>IF(L663="N/A","N/A",IF(R663="","Belum dinilai",IF(R663=1,"Memenuhi",IF(R663=0,"Tidak Memenuhi","Memenuhi Sebagian"))))</f>
        <v/>
      </c>
      <c r="T663" s="31" t="inlineStr">
        <is>
          <t>5.2-2</t>
        </is>
      </c>
      <c r="U663" s="77" t="n"/>
    </row>
    <row r="664" ht="27" customHeight="1">
      <c r="A664" s="77" t="n"/>
      <c r="B664" s="77" t="n"/>
      <c r="C664" s="77" t="n"/>
      <c r="D664" s="77" t="n"/>
      <c r="E664" s="27" t="inlineStr">
        <is>
          <t>A</t>
        </is>
      </c>
      <c r="F664" s="79" t="n"/>
      <c r="G664" s="79" t="n"/>
      <c r="H664" s="79" t="n"/>
      <c r="I664" s="28" t="n">
        <v>5</v>
      </c>
      <c r="J664" s="62" t="inlineStr">
        <is>
          <t>Bukti Perbaikan</t>
        </is>
      </c>
      <c r="K664" s="78" t="inlineStr"/>
      <c r="L664" s="29" t="n"/>
      <c r="M664" s="10" t="n"/>
      <c r="N664" s="29" t="n"/>
      <c r="O664" s="29" t="n"/>
      <c r="P664" s="29" t="n"/>
      <c r="Q664" s="10" t="n"/>
      <c r="R664" s="30">
        <f>IF(OR(L664="",L664="N/A"),"",IF(L664="Tidak Ada",0,IF(P664="","",IF(P664="Tidak Sesuai",0,IF(AND(N664="Ya",O664="Ya",P664="Sesuai"),1,0.5)))))</f>
        <v/>
      </c>
      <c r="S664" s="30">
        <f>IF(L664="N/A","N/A",IF(R664="","Belum dinilai",IF(R664=1,"Memenuhi",IF(R664=0,"Tidak Memenuhi","Memenuhi Sebagian"))))</f>
        <v/>
      </c>
      <c r="T664" s="31" t="inlineStr">
        <is>
          <t>5.2-2</t>
        </is>
      </c>
      <c r="U664" s="79" t="n"/>
    </row>
    <row r="665" ht="27" customHeight="1">
      <c r="A665" s="77" t="n"/>
      <c r="B665" s="77" t="n"/>
      <c r="C665" s="77" t="n"/>
      <c r="D665" s="77" t="n"/>
      <c r="E665" s="32" t="inlineStr">
        <is>
          <t>B</t>
        </is>
      </c>
      <c r="F665" s="62" t="inlineStr">
        <is>
          <t>B – Evaluasi &amp; Tindak Lanjut</t>
        </is>
      </c>
      <c r="G665" s="62" t="inlineStr">
        <is>
          <t>Reviu terhadap proses tindak pengendalian untuk risiko tingkat operasional unit kerja/OPD, strategis unit kerja/OPD, dan strategis K/L/D memadai</t>
        </is>
      </c>
      <c r="H665" s="62" t="inlineStr">
        <is>
          <t>Reviu terhadap proses tindak pengendalian untuk risiko tingkat operasional unit kerja/OPD, strategis unit kerja/OPD, dan strategis K/L/D memadai</t>
        </is>
      </c>
      <c r="I665" s="28" t="n">
        <v>1</v>
      </c>
      <c r="J665" s="62" t="inlineStr">
        <is>
          <t>Pedoman Reviu Manajemen Risiko</t>
        </is>
      </c>
      <c r="K665" s="78" t="inlineStr"/>
      <c r="L665" s="29" t="n"/>
      <c r="M665" s="10" t="n"/>
      <c r="N665" s="29" t="n"/>
      <c r="O665" s="29" t="n"/>
      <c r="P665" s="29" t="n"/>
      <c r="Q665" s="10" t="n"/>
      <c r="R665" s="30">
        <f>IF(OR(L665="",L665="N/A"),"",IF(L665="Tidak Ada",0,IF(P665="","",IF(P665="Tidak Sesuai",0,IF(AND(N665="Ya",O665="Ya",P665="Sesuai"),1,0.5)))))</f>
        <v/>
      </c>
      <c r="S665" s="30">
        <f>IF(L665="N/A","N/A",IF(R665="","Belum dinilai",IF(R665=1,"Memenuhi",IF(R665=0,"Tidak Memenuhi","Memenuhi Sebagian"))))</f>
        <v/>
      </c>
      <c r="T665" s="31" t="inlineStr">
        <is>
          <t>5.2-2</t>
        </is>
      </c>
      <c r="U665" s="63">
        <f>IF(COUNT(R665:R668)=0,"",SUM(R665:R668)/COUNT(R665:R668))</f>
        <v/>
      </c>
    </row>
    <row r="666" ht="27" customHeight="1">
      <c r="A666" s="77" t="n"/>
      <c r="B666" s="77" t="n"/>
      <c r="C666" s="77" t="n"/>
      <c r="D666" s="77" t="n"/>
      <c r="E666" s="32" t="inlineStr">
        <is>
          <t>B</t>
        </is>
      </c>
      <c r="F666" s="77" t="n"/>
      <c r="G666" s="77" t="n"/>
      <c r="H666" s="77" t="n"/>
      <c r="I666" s="28" t="n">
        <v>2</v>
      </c>
      <c r="J666" s="62" t="inlineStr">
        <is>
          <t>Laporan Reviu Independen APIP</t>
        </is>
      </c>
      <c r="K666" s="78" t="inlineStr"/>
      <c r="L666" s="29" t="n"/>
      <c r="M666" s="10" t="n"/>
      <c r="N666" s="29" t="n"/>
      <c r="O666" s="29" t="n"/>
      <c r="P666" s="29" t="n"/>
      <c r="Q666" s="10" t="n"/>
      <c r="R666" s="30">
        <f>IF(OR(L666="",L666="N/A"),"",IF(L666="Tidak Ada",0,IF(P666="","",IF(P666="Tidak Sesuai",0,IF(AND(N666="Ya",O666="Ya",P666="Sesuai"),1,0.5)))))</f>
        <v/>
      </c>
      <c r="S666" s="30">
        <f>IF(L666="N/A","N/A",IF(R666="","Belum dinilai",IF(R666=1,"Memenuhi",IF(R666=0,"Tidak Memenuhi","Memenuhi Sebagian"))))</f>
        <v/>
      </c>
      <c r="T666" s="31" t="inlineStr">
        <is>
          <t>5.2-2</t>
        </is>
      </c>
      <c r="U666" s="77" t="n"/>
    </row>
    <row r="667" ht="27" customHeight="1">
      <c r="A667" s="77" t="n"/>
      <c r="B667" s="77" t="n"/>
      <c r="C667" s="77" t="n"/>
      <c r="D667" s="77" t="n"/>
      <c r="E667" s="32" t="inlineStr">
        <is>
          <t>B</t>
        </is>
      </c>
      <c r="F667" s="77" t="n"/>
      <c r="G667" s="77" t="n"/>
      <c r="H667" s="77" t="n"/>
      <c r="I667" s="28" t="n">
        <v>3</v>
      </c>
      <c r="J667" s="62" t="inlineStr">
        <is>
          <t>Kertas Kerja Reviu</t>
        </is>
      </c>
      <c r="K667" s="78" t="inlineStr"/>
      <c r="L667" s="29" t="n"/>
      <c r="M667" s="10" t="n"/>
      <c r="N667" s="29" t="n"/>
      <c r="O667" s="29" t="n"/>
      <c r="P667" s="29" t="n"/>
      <c r="Q667" s="10" t="n"/>
      <c r="R667" s="30">
        <f>IF(OR(L667="",L667="N/A"),"",IF(L667="Tidak Ada",0,IF(P667="","",IF(P667="Tidak Sesuai",0,IF(AND(N667="Ya",O667="Ya",P667="Sesuai"),1,0.5)))))</f>
        <v/>
      </c>
      <c r="S667" s="30">
        <f>IF(L667="N/A","N/A",IF(R667="","Belum dinilai",IF(R667=1,"Memenuhi",IF(R667=0,"Tidak Memenuhi","Memenuhi Sebagian"))))</f>
        <v/>
      </c>
      <c r="T667" s="31" t="inlineStr">
        <is>
          <t>5.2-2</t>
        </is>
      </c>
      <c r="U667" s="77" t="n"/>
    </row>
    <row r="668" ht="27" customHeight="1">
      <c r="A668" s="77" t="n"/>
      <c r="B668" s="77" t="n"/>
      <c r="C668" s="77" t="n"/>
      <c r="D668" s="77" t="n"/>
      <c r="E668" s="32" t="inlineStr">
        <is>
          <t>B</t>
        </is>
      </c>
      <c r="F668" s="79" t="n"/>
      <c r="G668" s="79" t="n"/>
      <c r="H668" s="79" t="n"/>
      <c r="I668" s="28" t="n">
        <v>4</v>
      </c>
      <c r="J668" s="62" t="inlineStr">
        <is>
          <t>Laporan Tindak Lanjut</t>
        </is>
      </c>
      <c r="K668" s="78" t="inlineStr"/>
      <c r="L668" s="29" t="n"/>
      <c r="M668" s="10" t="n"/>
      <c r="N668" s="29" t="n"/>
      <c r="O668" s="29" t="n"/>
      <c r="P668" s="29" t="n"/>
      <c r="Q668" s="10" t="n"/>
      <c r="R668" s="30">
        <f>IF(OR(L668="",L668="N/A"),"",IF(L668="Tidak Ada",0,IF(P668="","",IF(P668="Tidak Sesuai",0,IF(AND(N668="Ya",O668="Ya",P668="Sesuai"),1,0.5)))))</f>
        <v/>
      </c>
      <c r="S668" s="30">
        <f>IF(L668="N/A","N/A",IF(R668="","Belum dinilai",IF(R668=1,"Memenuhi",IF(R668=0,"Tidak Memenuhi","Memenuhi Sebagian"))))</f>
        <v/>
      </c>
      <c r="T668" s="31" t="inlineStr">
        <is>
          <t>5.2-2</t>
        </is>
      </c>
      <c r="U668" s="79" t="n"/>
    </row>
    <row r="669" ht="27" customHeight="1">
      <c r="A669" s="77" t="n"/>
      <c r="B669" s="77" t="n"/>
      <c r="C669" s="77" t="n"/>
      <c r="D669" s="77" t="n"/>
      <c r="E669" s="33" t="inlineStr">
        <is>
          <t>C</t>
        </is>
      </c>
      <c r="F669" s="62" t="inlineStr">
        <is>
          <t>C – Implementasi</t>
        </is>
      </c>
      <c r="G669" s="62" t="inlineStr">
        <is>
          <t>Reviu terhadap proses tindak pengendalian untuk risiko tingkat operasional unit kerja/OPD dan strategis unit kerja/OPD memadai</t>
        </is>
      </c>
      <c r="H669" s="62" t="inlineStr">
        <is>
          <t>Reviu terhadap proses tindak pengendalian untuk risiko tingkat operasional unit kerja/OPD dan strategis unit kerja/OPD memadai</t>
        </is>
      </c>
      <c r="I669" s="28" t="n">
        <v>1</v>
      </c>
      <c r="J669" s="62" t="inlineStr">
        <is>
          <t>Pedoman Reviu Manajemen Risiko</t>
        </is>
      </c>
      <c r="K669" s="78" t="inlineStr"/>
      <c r="L669" s="29" t="n"/>
      <c r="M669" s="10" t="n"/>
      <c r="N669" s="29" t="n"/>
      <c r="O669" s="29" t="n"/>
      <c r="P669" s="29" t="n"/>
      <c r="Q669" s="10" t="n"/>
      <c r="R669" s="30">
        <f>IF(OR(L669="",L669="N/A"),"",IF(L669="Tidak Ada",0,IF(P669="","",IF(P669="Tidak Sesuai",0,IF(AND(N669="Ya",O669="Ya",P669="Sesuai"),1,0.5)))))</f>
        <v/>
      </c>
      <c r="S669" s="30">
        <f>IF(L669="N/A","N/A",IF(R669="","Belum dinilai",IF(R669=1,"Memenuhi",IF(R669=0,"Tidak Memenuhi","Memenuhi Sebagian"))))</f>
        <v/>
      </c>
      <c r="T669" s="31" t="inlineStr">
        <is>
          <t>5.2-2</t>
        </is>
      </c>
      <c r="U669" s="63">
        <f>IF(COUNT(R669:R672)=0,"",SUM(R669:R672)/COUNT(R669:R672))</f>
        <v/>
      </c>
    </row>
    <row r="670" ht="27" customHeight="1">
      <c r="A670" s="77" t="n"/>
      <c r="B670" s="77" t="n"/>
      <c r="C670" s="77" t="n"/>
      <c r="D670" s="77" t="n"/>
      <c r="E670" s="33" t="inlineStr">
        <is>
          <t>C</t>
        </is>
      </c>
      <c r="F670" s="77" t="n"/>
      <c r="G670" s="77" t="n"/>
      <c r="H670" s="77" t="n"/>
      <c r="I670" s="28" t="n">
        <v>2</v>
      </c>
      <c r="J670" s="62" t="inlineStr">
        <is>
          <t>Laporan Reviu APIP</t>
        </is>
      </c>
      <c r="K670" s="78" t="inlineStr"/>
      <c r="L670" s="29" t="inlineStr">
        <is>
          <t>Ada</t>
        </is>
      </c>
      <c r="M670" s="66" t="inlineStr">
        <is>
          <t>Laporan pendampingan RR OPD</t>
        </is>
      </c>
      <c r="N670" s="29" t="inlineStr">
        <is>
          <t>Ya</t>
        </is>
      </c>
      <c r="O670" s="29" t="inlineStr">
        <is>
          <t>Ya</t>
        </is>
      </c>
      <c r="P670" s="29" t="inlineStr">
        <is>
          <t>Sesuai</t>
        </is>
      </c>
      <c r="Q670" s="10" t="n"/>
      <c r="R670" s="30">
        <f>IF(OR(L670="",L670="N/A"),"",IF(L670="Tidak Ada",0,IF(P670="","",IF(P670="Tidak Sesuai",0,IF(AND(N670="Ya",O670="Ya",P670="Sesuai"),1,0.5)))))</f>
        <v/>
      </c>
      <c r="S670" s="30">
        <f>IF(L670="N/A","N/A",IF(R670="","Belum dinilai",IF(R670=1,"Memenuhi",IF(R670=0,"Tidak Memenuhi","Memenuhi Sebagian"))))</f>
        <v/>
      </c>
      <c r="T670" s="31" t="inlineStr">
        <is>
          <t>5.2-2</t>
        </is>
      </c>
      <c r="U670" s="77" t="n"/>
    </row>
    <row r="671" ht="27" customHeight="1">
      <c r="A671" s="77" t="n"/>
      <c r="B671" s="77" t="n"/>
      <c r="C671" s="77" t="n"/>
      <c r="D671" s="77" t="n"/>
      <c r="E671" s="33" t="inlineStr">
        <is>
          <t>C</t>
        </is>
      </c>
      <c r="F671" s="77" t="n"/>
      <c r="G671" s="77" t="n"/>
      <c r="H671" s="77" t="n"/>
      <c r="I671" s="28" t="n">
        <v>3</v>
      </c>
      <c r="J671" s="62" t="inlineStr">
        <is>
          <t>Kertas Kerja Reviu</t>
        </is>
      </c>
      <c r="K671" s="78" t="inlineStr"/>
      <c r="L671" s="29" t="n"/>
      <c r="M671" s="10" t="n"/>
      <c r="N671" s="29" t="n"/>
      <c r="O671" s="29" t="n"/>
      <c r="P671" s="29" t="n"/>
      <c r="Q671" s="10" t="n"/>
      <c r="R671" s="30">
        <f>IF(OR(L671="",L671="N/A"),"",IF(L671="Tidak Ada",0,IF(P671="","",IF(P671="Tidak Sesuai",0,IF(AND(N671="Ya",O671="Ya",P671="Sesuai"),1,0.5)))))</f>
        <v/>
      </c>
      <c r="S671" s="30">
        <f>IF(L671="N/A","N/A",IF(R671="","Belum dinilai",IF(R671=1,"Memenuhi",IF(R671=0,"Tidak Memenuhi","Memenuhi Sebagian"))))</f>
        <v/>
      </c>
      <c r="T671" s="31" t="inlineStr">
        <is>
          <t>5.2-2</t>
        </is>
      </c>
      <c r="U671" s="77" t="n"/>
    </row>
    <row r="672" ht="27" customHeight="1">
      <c r="A672" s="77" t="n"/>
      <c r="B672" s="77" t="n"/>
      <c r="C672" s="77" t="n"/>
      <c r="D672" s="77" t="n"/>
      <c r="E672" s="33" t="inlineStr">
        <is>
          <t>C</t>
        </is>
      </c>
      <c r="F672" s="79" t="n"/>
      <c r="G672" s="79" t="n"/>
      <c r="H672" s="79" t="n"/>
      <c r="I672" s="28" t="n">
        <v>4</v>
      </c>
      <c r="J672" s="62" t="inlineStr">
        <is>
          <t>Bukti Tindak Lanjut</t>
        </is>
      </c>
      <c r="K672" s="78" t="inlineStr"/>
      <c r="L672" s="29" t="n"/>
      <c r="M672" s="10" t="n"/>
      <c r="N672" s="29" t="n"/>
      <c r="O672" s="29" t="n"/>
      <c r="P672" s="29" t="n"/>
      <c r="Q672" s="10" t="n"/>
      <c r="R672" s="30">
        <f>IF(OR(L672="",L672="N/A"),"",IF(L672="Tidak Ada",0,IF(P672="","",IF(P672="Tidak Sesuai",0,IF(AND(N672="Ya",O672="Ya",P672="Sesuai"),1,0.5)))))</f>
        <v/>
      </c>
      <c r="S672" s="30">
        <f>IF(L672="N/A","N/A",IF(R672="","Belum dinilai",IF(R672=1,"Memenuhi",IF(R672=0,"Tidak Memenuhi","Memenuhi Sebagian"))))</f>
        <v/>
      </c>
      <c r="T672" s="31" t="inlineStr">
        <is>
          <t>5.2-2</t>
        </is>
      </c>
      <c r="U672" s="79" t="n"/>
    </row>
    <row r="673" ht="39" customHeight="1">
      <c r="A673" s="77" t="n"/>
      <c r="B673" s="77" t="n"/>
      <c r="C673" s="77" t="n"/>
      <c r="D673" s="77" t="n"/>
      <c r="E673" s="34" t="inlineStr">
        <is>
          <t>D</t>
        </is>
      </c>
      <c r="F673" s="62" t="inlineStr">
        <is>
          <t>D – Komunikasi &amp; Pemahaman</t>
        </is>
      </c>
      <c r="G673" s="62" t="inlineStr">
        <is>
          <t>Reviu terhadap proses tindak pengendalian untuk risiko tingkat operasional unit kerja/OPD cukup memadai</t>
        </is>
      </c>
      <c r="H673" s="62" t="inlineStr">
        <is>
          <t>Reviu terhadap proses tindak pengendalian untuk risiko tingkat operasional unit kerja/OPD cukup memadai</t>
        </is>
      </c>
      <c r="I673" s="28" t="n">
        <v>1</v>
      </c>
      <c r="J673" s="62" t="inlineStr">
        <is>
          <t>Laporan Reviu APIP atas Proses Tindak Pengendalian Risiko Operasional</t>
        </is>
      </c>
      <c r="K673" s="78" t="inlineStr"/>
      <c r="L673" s="29" t="n"/>
      <c r="M673" s="10" t="n"/>
      <c r="N673" s="29" t="n"/>
      <c r="O673" s="29" t="n"/>
      <c r="P673" s="29" t="n"/>
      <c r="Q673" s="10" t="n"/>
      <c r="R673" s="30">
        <f>IF(OR(L673="",L673="N/A"),"",IF(L673="Tidak Ada",0,IF(P673="","",IF(P673="Tidak Sesuai",0,IF(AND(N673="Ya",O673="Ya",P673="Sesuai"),1,0.5)))))</f>
        <v/>
      </c>
      <c r="S673" s="30">
        <f>IF(L673="N/A","N/A",IF(R673="","Belum dinilai",IF(R673=1,"Memenuhi",IF(R673=0,"Tidak Memenuhi","Memenuhi Sebagian"))))</f>
        <v/>
      </c>
      <c r="T673" s="31" t="inlineStr">
        <is>
          <t>5.2-2</t>
        </is>
      </c>
      <c r="U673" s="63">
        <f>IF(COUNT(R673:R674)=0,"",SUM(R673:R674)/COUNT(R673:R674))</f>
        <v/>
      </c>
    </row>
    <row r="674" ht="39" customHeight="1">
      <c r="A674" s="77" t="n"/>
      <c r="B674" s="77" t="n"/>
      <c r="C674" s="77" t="n"/>
      <c r="D674" s="77" t="n"/>
      <c r="E674" s="34" t="inlineStr">
        <is>
          <t>D</t>
        </is>
      </c>
      <c r="F674" s="79" t="n"/>
      <c r="G674" s="79" t="n"/>
      <c r="H674" s="79" t="n"/>
      <c r="I674" s="28" t="n">
        <v>2</v>
      </c>
      <c r="J674" s="62" t="inlineStr">
        <is>
          <t>Kertas Kerja Reviu</t>
        </is>
      </c>
      <c r="K674" s="78" t="inlineStr"/>
      <c r="L674" s="29" t="n"/>
      <c r="M674" s="10" t="n"/>
      <c r="N674" s="29" t="n"/>
      <c r="O674" s="29" t="n"/>
      <c r="P674" s="29" t="n"/>
      <c r="Q674" s="10" t="n"/>
      <c r="R674" s="30">
        <f>IF(OR(L674="",L674="N/A"),"",IF(L674="Tidak Ada",0,IF(P674="","",IF(P674="Tidak Sesuai",0,IF(AND(N674="Ya",O674="Ya",P674="Sesuai"),1,0.5)))))</f>
        <v/>
      </c>
      <c r="S674" s="30">
        <f>IF(L674="N/A","N/A",IF(R674="","Belum dinilai",IF(R674=1,"Memenuhi",IF(R674=0,"Tidak Memenuhi","Memenuhi Sebagian"))))</f>
        <v/>
      </c>
      <c r="T674" s="31" t="inlineStr">
        <is>
          <t>5.2-2</t>
        </is>
      </c>
      <c r="U674" s="79" t="n"/>
    </row>
    <row r="675" ht="39" customHeight="1">
      <c r="A675" s="77" t="n"/>
      <c r="B675" s="77" t="n"/>
      <c r="C675" s="77" t="n"/>
      <c r="D675" s="77" t="n"/>
      <c r="E675" s="35" t="inlineStr">
        <is>
          <t>E</t>
        </is>
      </c>
      <c r="F675" s="62" t="inlineStr">
        <is>
          <t>E – Kebijakan/Formalitas</t>
        </is>
      </c>
      <c r="G675" s="62" t="inlineStr">
        <is>
          <t>Reviu terhadap proses tindak pengendalian untuk risiko tingkat operasional unit kerja/OPD belum memadai</t>
        </is>
      </c>
      <c r="H675" s="62" t="inlineStr">
        <is>
          <t>Organisasi telah memiliki/menetapkan reviu terhadap proses tindak pengendalian untuk risiko tingkat operasional unit kerja/opd belum memadai</t>
        </is>
      </c>
      <c r="I675" s="28" t="n">
        <v>1</v>
      </c>
      <c r="J675" s="62" t="inlineStr">
        <is>
          <t>Laporan Reviu APIP atas Proses Tindak Pengendalian Risiko Operasional</t>
        </is>
      </c>
      <c r="K675" s="78" t="inlineStr"/>
      <c r="L675" s="29" t="n"/>
      <c r="M675" s="10" t="n"/>
      <c r="N675" s="29" t="n"/>
      <c r="O675" s="29" t="n"/>
      <c r="P675" s="29" t="n"/>
      <c r="Q675" s="10" t="n"/>
      <c r="R675" s="30">
        <f>IF(OR(L675="",L675="N/A"),"",IF(L675="Tidak Ada",0,IF(P675="","",IF(P675="Tidak Sesuai",0,IF(AND(N675="Ya",O675="Ya",P675="Sesuai"),1,0.5)))))</f>
        <v/>
      </c>
      <c r="S675" s="30">
        <f>IF(L675="N/A","N/A",IF(R675="","Belum dinilai",IF(R675=1,"Memenuhi",IF(R675=0,"Tidak Memenuhi","Memenuhi Sebagian"))))</f>
        <v/>
      </c>
      <c r="T675" s="31" t="inlineStr">
        <is>
          <t>5.2-2</t>
        </is>
      </c>
      <c r="U675" s="63">
        <f>IF(COUNT(R675:R676)=0,"",SUM(R675:R676)/COUNT(R675:R676))</f>
        <v/>
      </c>
    </row>
    <row r="676" ht="39" customHeight="1">
      <c r="A676" s="79" t="n"/>
      <c r="B676" s="79" t="n"/>
      <c r="C676" s="79" t="n"/>
      <c r="D676" s="79" t="n"/>
      <c r="E676" s="35" t="inlineStr">
        <is>
          <t>E</t>
        </is>
      </c>
      <c r="F676" s="79" t="n"/>
      <c r="G676" s="79" t="n"/>
      <c r="H676" s="79" t="n"/>
      <c r="I676" s="28" t="n">
        <v>2</v>
      </c>
      <c r="J676" s="62" t="inlineStr">
        <is>
          <t>Kertas Kerja Reviu</t>
        </is>
      </c>
      <c r="K676" s="78" t="inlineStr"/>
      <c r="L676" s="29" t="n"/>
      <c r="M676" s="10" t="n"/>
      <c r="N676" s="29" t="n"/>
      <c r="O676" s="29" t="n"/>
      <c r="P676" s="29" t="n"/>
      <c r="Q676" s="10" t="n"/>
      <c r="R676" s="30">
        <f>IF(OR(L676="",L676="N/A"),"",IF(L676="Tidak Ada",0,IF(P676="","",IF(P676="Tidak Sesuai",0,IF(AND(N676="Ya",O676="Ya",P676="Sesuai"),1,0.5)))))</f>
        <v/>
      </c>
      <c r="S676" s="30">
        <f>IF(L676="N/A","N/A",IF(R676="","Belum dinilai",IF(R676=1,"Memenuhi",IF(R676=0,"Tidak Memenuhi","Memenuhi Sebagian"))))</f>
        <v/>
      </c>
      <c r="T676" s="31" t="inlineStr">
        <is>
          <t>5.2-2</t>
        </is>
      </c>
      <c r="U676" s="79" t="n"/>
    </row>
    <row r="677">
      <c r="K677" s="82" t="inlineStr"/>
    </row>
    <row r="678">
      <c r="J678" s="36" t="inlineStr">
        <is>
          <t>TOTAL PEMENUHAN DOKUMEN OPD</t>
        </is>
      </c>
      <c r="K678" s="83" t="inlineStr"/>
      <c r="R678" s="55">
        <f>IF(COUNT(R6:R676)=0,"",SUM(R6:R676)/COUNT(R6:R676))</f>
        <v/>
      </c>
      <c r="S678" s="84" t="n"/>
    </row>
  </sheetData>
  <autoFilter ref="A4:U678"/>
  <mergeCells count="981">
    <mergeCell ref="F488:F490"/>
    <mergeCell ref="F106:F110"/>
    <mergeCell ref="H488:H490"/>
    <mergeCell ref="F140:F142"/>
    <mergeCell ref="U475:U477"/>
    <mergeCell ref="H140:H142"/>
    <mergeCell ref="U450:U452"/>
    <mergeCell ref="F425:F427"/>
    <mergeCell ref="F243:F247"/>
    <mergeCell ref="H569:H571"/>
    <mergeCell ref="H425:H427"/>
    <mergeCell ref="U55:U59"/>
    <mergeCell ref="U275:U278"/>
    <mergeCell ref="H471:H472"/>
    <mergeCell ref="U598:U599"/>
    <mergeCell ref="F458:F459"/>
    <mergeCell ref="F440:F442"/>
    <mergeCell ref="H458:H459"/>
    <mergeCell ref="D37:D54"/>
    <mergeCell ref="G184:G187"/>
    <mergeCell ref="G363:G364"/>
    <mergeCell ref="H69:H72"/>
    <mergeCell ref="G195:G198"/>
    <mergeCell ref="U481:U483"/>
    <mergeCell ref="G551:G553"/>
    <mergeCell ref="H175:H179"/>
    <mergeCell ref="H376:H377"/>
    <mergeCell ref="F583:F584"/>
    <mergeCell ref="F516:F518"/>
    <mergeCell ref="C358:C368"/>
    <mergeCell ref="F587:F589"/>
    <mergeCell ref="H516:H518"/>
    <mergeCell ref="G423:G424"/>
    <mergeCell ref="F484:F485"/>
    <mergeCell ref="U120:U122"/>
    <mergeCell ref="U292:U299"/>
    <mergeCell ref="F248:F252"/>
    <mergeCell ref="U509:U510"/>
    <mergeCell ref="H484:H485"/>
    <mergeCell ref="A22:A36"/>
    <mergeCell ref="B576:B586"/>
    <mergeCell ref="H40:H42"/>
    <mergeCell ref="H549:H550"/>
    <mergeCell ref="U576:U578"/>
    <mergeCell ref="U405:U407"/>
    <mergeCell ref="F549:F550"/>
    <mergeCell ref="D76:D89"/>
    <mergeCell ref="G675:G676"/>
    <mergeCell ref="H257:H259"/>
    <mergeCell ref="F486:F487"/>
    <mergeCell ref="U100:U102"/>
    <mergeCell ref="G500:G502"/>
    <mergeCell ref="B195:B210"/>
    <mergeCell ref="H486:H487"/>
    <mergeCell ref="H613:H614"/>
    <mergeCell ref="D195:D210"/>
    <mergeCell ref="U448:U449"/>
    <mergeCell ref="H321:H323"/>
    <mergeCell ref="B260:B280"/>
    <mergeCell ref="H557:H559"/>
    <mergeCell ref="G564:G566"/>
    <mergeCell ref="H243:H247"/>
    <mergeCell ref="D260:D280"/>
    <mergeCell ref="B382:B394"/>
    <mergeCell ref="A437:A449"/>
    <mergeCell ref="H649:H651"/>
    <mergeCell ref="G604:G606"/>
    <mergeCell ref="G217:G222"/>
    <mergeCell ref="G376:G377"/>
    <mergeCell ref="G534:G535"/>
    <mergeCell ref="F562:F563"/>
    <mergeCell ref="G22:G24"/>
    <mergeCell ref="U393:U394"/>
    <mergeCell ref="F433:F434"/>
    <mergeCell ref="D126:D142"/>
    <mergeCell ref="F675:F676"/>
    <mergeCell ref="H433:H434"/>
    <mergeCell ref="H440:H442"/>
    <mergeCell ref="G134:G136"/>
    <mergeCell ref="C374:C381"/>
    <mergeCell ref="C6:C21"/>
    <mergeCell ref="F19:F21"/>
    <mergeCell ref="H408:H409"/>
    <mergeCell ref="U265:U269"/>
    <mergeCell ref="F206:F208"/>
    <mergeCell ref="U652:U655"/>
    <mergeCell ref="U500:U502"/>
    <mergeCell ref="H206:H208"/>
    <mergeCell ref="H522:H523"/>
    <mergeCell ref="H497:H498"/>
    <mergeCell ref="U453:U454"/>
    <mergeCell ref="H435:H436"/>
    <mergeCell ref="B211:B236"/>
    <mergeCell ref="F435:F436"/>
    <mergeCell ref="H491:H493"/>
    <mergeCell ref="H669:H672"/>
    <mergeCell ref="U478:U480"/>
    <mergeCell ref="H34:H36"/>
    <mergeCell ref="U88:U89"/>
    <mergeCell ref="G365:G366"/>
    <mergeCell ref="U446:U447"/>
    <mergeCell ref="H506:H508"/>
    <mergeCell ref="F604:F606"/>
    <mergeCell ref="A488:A499"/>
    <mergeCell ref="G488:G490"/>
    <mergeCell ref="G619:G621"/>
    <mergeCell ref="A425:A436"/>
    <mergeCell ref="F88:F89"/>
    <mergeCell ref="G569:G571"/>
    <mergeCell ref="G391:G392"/>
    <mergeCell ref="B143:B174"/>
    <mergeCell ref="H395:H398"/>
    <mergeCell ref="D143:D174"/>
    <mergeCell ref="A195:A210"/>
    <mergeCell ref="G458:G459"/>
    <mergeCell ref="G462:G464"/>
    <mergeCell ref="F97:F99"/>
    <mergeCell ref="F223:F229"/>
    <mergeCell ref="H223:H229"/>
    <mergeCell ref="A281:A304"/>
    <mergeCell ref="G554:G556"/>
    <mergeCell ref="C90:C105"/>
    <mergeCell ref="F382:F384"/>
    <mergeCell ref="C281:C304"/>
    <mergeCell ref="H184:H187"/>
    <mergeCell ref="G473:G474"/>
    <mergeCell ref="F363:F364"/>
    <mergeCell ref="H363:H364"/>
    <mergeCell ref="U279:U280"/>
    <mergeCell ref="G491:G493"/>
    <mergeCell ref="H388:H390"/>
    <mergeCell ref="U344:U346"/>
    <mergeCell ref="U260:U264"/>
    <mergeCell ref="F365:F366"/>
    <mergeCell ref="U123:U125"/>
    <mergeCell ref="H365:H366"/>
    <mergeCell ref="U402:U404"/>
    <mergeCell ref="G47:G49"/>
    <mergeCell ref="B358:B368"/>
    <mergeCell ref="G516:G518"/>
    <mergeCell ref="H423:H424"/>
    <mergeCell ref="G484:G485"/>
    <mergeCell ref="F90:F93"/>
    <mergeCell ref="G549:G550"/>
    <mergeCell ref="G378:G379"/>
    <mergeCell ref="G180:G183"/>
    <mergeCell ref="H90:H93"/>
    <mergeCell ref="G149:G153"/>
    <mergeCell ref="G257:G259"/>
    <mergeCell ref="G645:G648"/>
    <mergeCell ref="G486:G487"/>
    <mergeCell ref="F16:F18"/>
    <mergeCell ref="G223:G229"/>
    <mergeCell ref="G613:G614"/>
    <mergeCell ref="G607:G609"/>
    <mergeCell ref="D537:D550"/>
    <mergeCell ref="F537:F539"/>
    <mergeCell ref="A660:A676"/>
    <mergeCell ref="G243:G247"/>
    <mergeCell ref="C660:C676"/>
    <mergeCell ref="G126:G130"/>
    <mergeCell ref="F211:F216"/>
    <mergeCell ref="A382:A394"/>
    <mergeCell ref="D369:D373"/>
    <mergeCell ref="H292:H299"/>
    <mergeCell ref="F376:F377"/>
    <mergeCell ref="U134:U136"/>
    <mergeCell ref="F625:F627"/>
    <mergeCell ref="F47:F49"/>
    <mergeCell ref="H576:H578"/>
    <mergeCell ref="F22:F24"/>
    <mergeCell ref="U528:U530"/>
    <mergeCell ref="C237:C259"/>
    <mergeCell ref="H22:H24"/>
    <mergeCell ref="F385:F387"/>
    <mergeCell ref="F378:F379"/>
    <mergeCell ref="U65:U68"/>
    <mergeCell ref="H385:H387"/>
    <mergeCell ref="H378:H379"/>
    <mergeCell ref="C126:C142"/>
    <mergeCell ref="U503:U505"/>
    <mergeCell ref="F134:F136"/>
    <mergeCell ref="U161:U165"/>
    <mergeCell ref="B374:B381"/>
    <mergeCell ref="H279:H280"/>
    <mergeCell ref="F143:F148"/>
    <mergeCell ref="H80:H82"/>
    <mergeCell ref="H143:H148"/>
    <mergeCell ref="B6:B21"/>
    <mergeCell ref="D374:D381"/>
    <mergeCell ref="F237:F242"/>
    <mergeCell ref="G206:G208"/>
    <mergeCell ref="G399:G401"/>
    <mergeCell ref="R678:S678"/>
    <mergeCell ref="H607:H609"/>
    <mergeCell ref="F596:F597"/>
    <mergeCell ref="G60:G64"/>
    <mergeCell ref="A587:A599"/>
    <mergeCell ref="F270:F274"/>
    <mergeCell ref="F660:F664"/>
    <mergeCell ref="G506:G508"/>
    <mergeCell ref="F460:F461"/>
    <mergeCell ref="G292:G299"/>
    <mergeCell ref="U50:U54"/>
    <mergeCell ref="F40:F42"/>
    <mergeCell ref="U311:U315"/>
    <mergeCell ref="F569:F571"/>
    <mergeCell ref="F531:F533"/>
    <mergeCell ref="F640:F642"/>
    <mergeCell ref="F525:F527"/>
    <mergeCell ref="F265:F269"/>
    <mergeCell ref="U574:U575"/>
    <mergeCell ref="C143:C174"/>
    <mergeCell ref="H525:H527"/>
    <mergeCell ref="H265:H269"/>
    <mergeCell ref="U610:U612"/>
    <mergeCell ref="U353:U354"/>
    <mergeCell ref="F673:F674"/>
    <mergeCell ref="F462:F464"/>
    <mergeCell ref="H217:H222"/>
    <mergeCell ref="G430:G432"/>
    <mergeCell ref="A374:A381"/>
    <mergeCell ref="G188:G191"/>
    <mergeCell ref="H462:H464"/>
    <mergeCell ref="U325:U329"/>
    <mergeCell ref="B106:B125"/>
    <mergeCell ref="G417:G419"/>
    <mergeCell ref="B90:B105"/>
    <mergeCell ref="A369:A373"/>
    <mergeCell ref="B281:B304"/>
    <mergeCell ref="H316:H320"/>
    <mergeCell ref="U47:U49"/>
    <mergeCell ref="U587:U589"/>
    <mergeCell ref="D551:D563"/>
    <mergeCell ref="H60:H64"/>
    <mergeCell ref="G590:G592"/>
    <mergeCell ref="G475:G477"/>
    <mergeCell ref="F414:F416"/>
    <mergeCell ref="A37:A54"/>
    <mergeCell ref="D513:D524"/>
    <mergeCell ref="U511:U512"/>
    <mergeCell ref="F551:F553"/>
    <mergeCell ref="F622:F624"/>
    <mergeCell ref="D450:D461"/>
    <mergeCell ref="D410:D424"/>
    <mergeCell ref="U230:U234"/>
    <mergeCell ref="F86:F87"/>
    <mergeCell ref="F410:F413"/>
    <mergeCell ref="H19:H21"/>
    <mergeCell ref="U630:U633"/>
    <mergeCell ref="U300:U301"/>
    <mergeCell ref="U567:U568"/>
    <mergeCell ref="H180:H183"/>
    <mergeCell ref="U111:U114"/>
    <mergeCell ref="G443:G445"/>
    <mergeCell ref="F149:F153"/>
    <mergeCell ref="F540:F542"/>
    <mergeCell ref="D645:D659"/>
    <mergeCell ref="H149:H153"/>
    <mergeCell ref="H540:H542"/>
    <mergeCell ref="F645:F648"/>
    <mergeCell ref="C600:C614"/>
    <mergeCell ref="F188:F191"/>
    <mergeCell ref="U73:U75"/>
    <mergeCell ref="U330:U334"/>
    <mergeCell ref="G16:G18"/>
    <mergeCell ref="H188:H191"/>
    <mergeCell ref="F253:F256"/>
    <mergeCell ref="H253:H256"/>
    <mergeCell ref="U358:U360"/>
    <mergeCell ref="C615:C629"/>
    <mergeCell ref="U10:U12"/>
    <mergeCell ref="H585:H586"/>
    <mergeCell ref="U137:U139"/>
    <mergeCell ref="B660:B676"/>
    <mergeCell ref="G106:G110"/>
    <mergeCell ref="G537:G539"/>
    <mergeCell ref="H572:H573"/>
    <mergeCell ref="G347:G349"/>
    <mergeCell ref="U305:U310"/>
    <mergeCell ref="D660:D676"/>
    <mergeCell ref="U562:U563"/>
    <mergeCell ref="H475:H477"/>
    <mergeCell ref="G471:G472"/>
    <mergeCell ref="H574:H575"/>
    <mergeCell ref="D475:D487"/>
    <mergeCell ref="G576:G578"/>
    <mergeCell ref="D90:D105"/>
    <mergeCell ref="B462:B474"/>
    <mergeCell ref="H437:H439"/>
    <mergeCell ref="G76:G79"/>
    <mergeCell ref="D462:D474"/>
    <mergeCell ref="C410:C424"/>
    <mergeCell ref="H531:H533"/>
    <mergeCell ref="U13:U15"/>
    <mergeCell ref="U455:U457"/>
    <mergeCell ref="A6:A21"/>
    <mergeCell ref="B600:B614"/>
    <mergeCell ref="G143:G148"/>
    <mergeCell ref="A358:A368"/>
    <mergeCell ref="G344:G346"/>
    <mergeCell ref="U361:U362"/>
    <mergeCell ref="F610:F612"/>
    <mergeCell ref="U28:U30"/>
    <mergeCell ref="U154:U160"/>
    <mergeCell ref="H660:H664"/>
    <mergeCell ref="F13:F15"/>
    <mergeCell ref="U513:U515"/>
    <mergeCell ref="B587:B599"/>
    <mergeCell ref="F203:F205"/>
    <mergeCell ref="H528:H530"/>
    <mergeCell ref="U335:U339"/>
    <mergeCell ref="F567:F568"/>
    <mergeCell ref="H43:H46"/>
    <mergeCell ref="H300:H301"/>
    <mergeCell ref="F405:F407"/>
    <mergeCell ref="H567:H568"/>
    <mergeCell ref="H465:H467"/>
    <mergeCell ref="C462:C474"/>
    <mergeCell ref="U581:U582"/>
    <mergeCell ref="A525:A536"/>
    <mergeCell ref="G531:G533"/>
    <mergeCell ref="G420:G422"/>
    <mergeCell ref="G525:G527"/>
    <mergeCell ref="G669:G672"/>
    <mergeCell ref="H126:H130"/>
    <mergeCell ref="H511:H512"/>
    <mergeCell ref="G265:G269"/>
    <mergeCell ref="A175:A194"/>
    <mergeCell ref="G6:G9"/>
    <mergeCell ref="G428:G429"/>
    <mergeCell ref="U590:U592"/>
    <mergeCell ref="F430:F432"/>
    <mergeCell ref="F417:F419"/>
    <mergeCell ref="D347:D357"/>
    <mergeCell ref="C106:C125"/>
    <mergeCell ref="G316:G320"/>
    <mergeCell ref="F25:F27"/>
    <mergeCell ref="H25:H27"/>
    <mergeCell ref="H554:H556"/>
    <mergeCell ref="C551:C563"/>
    <mergeCell ref="H625:H627"/>
    <mergeCell ref="F590:F592"/>
    <mergeCell ref="H50:H54"/>
    <mergeCell ref="U468:U470"/>
    <mergeCell ref="G528:G530"/>
    <mergeCell ref="U443:U445"/>
    <mergeCell ref="U374:U375"/>
    <mergeCell ref="H610:H612"/>
    <mergeCell ref="U16:U18"/>
    <mergeCell ref="H209:H210"/>
    <mergeCell ref="G19:G21"/>
    <mergeCell ref="F420:F422"/>
    <mergeCell ref="G388:G390"/>
    <mergeCell ref="H420:H422"/>
    <mergeCell ref="U537:U539"/>
    <mergeCell ref="U106:U110"/>
    <mergeCell ref="H281:H285"/>
    <mergeCell ref="F453:F454"/>
    <mergeCell ref="U382:U384"/>
    <mergeCell ref="G83:G85"/>
    <mergeCell ref="H453:H454"/>
    <mergeCell ref="D600:D614"/>
    <mergeCell ref="A305:A324"/>
    <mergeCell ref="G579:G580"/>
    <mergeCell ref="C305:C324"/>
    <mergeCell ref="H478:H480"/>
    <mergeCell ref="G253:G256"/>
    <mergeCell ref="G123:G125"/>
    <mergeCell ref="B615:B629"/>
    <mergeCell ref="D615:D629"/>
    <mergeCell ref="H13:H15"/>
    <mergeCell ref="U76:U79"/>
    <mergeCell ref="G572:G573"/>
    <mergeCell ref="F347:F349"/>
    <mergeCell ref="G279:G280"/>
    <mergeCell ref="G643:G644"/>
    <mergeCell ref="B76:B89"/>
    <mergeCell ref="H448:H449"/>
    <mergeCell ref="F355:F356"/>
    <mergeCell ref="H430:H432"/>
    <mergeCell ref="H630:H633"/>
    <mergeCell ref="G574:G575"/>
    <mergeCell ref="G385:G387"/>
    <mergeCell ref="F613:F614"/>
    <mergeCell ref="C475:C487"/>
    <mergeCell ref="H405:H407"/>
    <mergeCell ref="U94:U96"/>
    <mergeCell ref="F76:F79"/>
    <mergeCell ref="U634:U636"/>
    <mergeCell ref="U237:U242"/>
    <mergeCell ref="U31:U33"/>
    <mergeCell ref="C369:C373"/>
    <mergeCell ref="U596:U597"/>
    <mergeCell ref="H473:H474"/>
    <mergeCell ref="F649:F651"/>
    <mergeCell ref="H340:H343"/>
    <mergeCell ref="U583:U584"/>
    <mergeCell ref="H10:H12"/>
    <mergeCell ref="U235:U236"/>
    <mergeCell ref="H305:H310"/>
    <mergeCell ref="F344:F346"/>
    <mergeCell ref="H344:H346"/>
    <mergeCell ref="G622:G624"/>
    <mergeCell ref="H598:H599"/>
    <mergeCell ref="G660:G664"/>
    <mergeCell ref="H583:H584"/>
    <mergeCell ref="G395:G398"/>
    <mergeCell ref="U97:U99"/>
    <mergeCell ref="B126:B142"/>
    <mergeCell ref="G90:G93"/>
    <mergeCell ref="G630:G633"/>
    <mergeCell ref="F554:F556"/>
    <mergeCell ref="G300:G301"/>
    <mergeCell ref="G80:G82"/>
    <mergeCell ref="G567:G568"/>
    <mergeCell ref="G465:G467"/>
    <mergeCell ref="F497:F498"/>
    <mergeCell ref="F669:F672"/>
    <mergeCell ref="F491:F493"/>
    <mergeCell ref="U543:U545"/>
    <mergeCell ref="G73:G75"/>
    <mergeCell ref="F28:F30"/>
    <mergeCell ref="F6:F9"/>
    <mergeCell ref="H28:H30"/>
    <mergeCell ref="F428:F429"/>
    <mergeCell ref="F506:F508"/>
    <mergeCell ref="H428:H429"/>
    <mergeCell ref="C450:C461"/>
    <mergeCell ref="H120:H122"/>
    <mergeCell ref="F257:F259"/>
    <mergeCell ref="G25:G27"/>
    <mergeCell ref="U622:U624"/>
    <mergeCell ref="U675:U676"/>
    <mergeCell ref="B551:B563"/>
    <mergeCell ref="G625:G627"/>
    <mergeCell ref="U19:U21"/>
    <mergeCell ref="H134:H136"/>
    <mergeCell ref="G50:G54"/>
    <mergeCell ref="G115:G119"/>
    <mergeCell ref="H581:H582"/>
    <mergeCell ref="U619:U621"/>
    <mergeCell ref="D237:D259"/>
    <mergeCell ref="U546:U548"/>
    <mergeCell ref="U540:U542"/>
    <mergeCell ref="B305:B324"/>
    <mergeCell ref="F184:F187"/>
    <mergeCell ref="G610:G612"/>
    <mergeCell ref="H596:H597"/>
    <mergeCell ref="G353:G354"/>
    <mergeCell ref="H65:H68"/>
    <mergeCell ref="U579:U580"/>
    <mergeCell ref="H123:H125"/>
    <mergeCell ref="G522:G523"/>
    <mergeCell ref="G455:G457"/>
    <mergeCell ref="G13:G15"/>
    <mergeCell ref="F557:F559"/>
    <mergeCell ref="F388:F390"/>
    <mergeCell ref="D211:D236"/>
    <mergeCell ref="G361:G362"/>
    <mergeCell ref="F83:F85"/>
    <mergeCell ref="G453:G454"/>
    <mergeCell ref="H619:H621"/>
    <mergeCell ref="H83:H85"/>
    <mergeCell ref="F579:F580"/>
    <mergeCell ref="F408:F409"/>
    <mergeCell ref="F275:F278"/>
    <mergeCell ref="H275:H278"/>
    <mergeCell ref="F423:F424"/>
    <mergeCell ref="U103:U105"/>
    <mergeCell ref="U37:U39"/>
    <mergeCell ref="F643:F644"/>
    <mergeCell ref="A76:A89"/>
    <mergeCell ref="H643:H644"/>
    <mergeCell ref="F50:F54"/>
    <mergeCell ref="F131:F133"/>
    <mergeCell ref="U637:U639"/>
    <mergeCell ref="C76:C89"/>
    <mergeCell ref="U199:U202"/>
    <mergeCell ref="F115:F119"/>
    <mergeCell ref="U564:U566"/>
    <mergeCell ref="H115:H119"/>
    <mergeCell ref="U428:U429"/>
    <mergeCell ref="F574:F575"/>
    <mergeCell ref="U410:U413"/>
    <mergeCell ref="H481:H483"/>
    <mergeCell ref="G111:G114"/>
    <mergeCell ref="H353:H354"/>
    <mergeCell ref="U365:U366"/>
    <mergeCell ref="D325:D346"/>
    <mergeCell ref="B369:B373"/>
    <mergeCell ref="G302:G304"/>
    <mergeCell ref="U192:U194"/>
    <mergeCell ref="F292:F299"/>
    <mergeCell ref="F576:F578"/>
    <mergeCell ref="G583:G584"/>
    <mergeCell ref="D395:D409"/>
    <mergeCell ref="F395:F398"/>
    <mergeCell ref="G374:G375"/>
    <mergeCell ref="U460:U461"/>
    <mergeCell ref="D500:D512"/>
    <mergeCell ref="A126:A142"/>
    <mergeCell ref="H192:H194"/>
    <mergeCell ref="H634:H636"/>
    <mergeCell ref="U494:U496"/>
    <mergeCell ref="U350:U352"/>
    <mergeCell ref="H230:H234"/>
    <mergeCell ref="U391:U392"/>
    <mergeCell ref="F630:F633"/>
    <mergeCell ref="F80:F82"/>
    <mergeCell ref="H31:H33"/>
    <mergeCell ref="H652:H655"/>
    <mergeCell ref="F111:F114"/>
    <mergeCell ref="H500:H502"/>
    <mergeCell ref="H111:H114"/>
    <mergeCell ref="U414:U416"/>
    <mergeCell ref="H161:H165"/>
    <mergeCell ref="H235:H236"/>
    <mergeCell ref="F330:F334"/>
    <mergeCell ref="H73:H75"/>
    <mergeCell ref="G34:G36"/>
    <mergeCell ref="F302:F304"/>
    <mergeCell ref="G28:G30"/>
    <mergeCell ref="U625:U627"/>
    <mergeCell ref="H131:H133"/>
    <mergeCell ref="H358:H360"/>
    <mergeCell ref="H302:H304"/>
    <mergeCell ref="U248:U252"/>
    <mergeCell ref="G43:G46"/>
    <mergeCell ref="G321:G323"/>
    <mergeCell ref="G55:G59"/>
    <mergeCell ref="U645:U648"/>
    <mergeCell ref="G557:G559"/>
    <mergeCell ref="A143:A174"/>
    <mergeCell ref="G598:G599"/>
    <mergeCell ref="G94:G96"/>
    <mergeCell ref="F217:F222"/>
    <mergeCell ref="G237:G242"/>
    <mergeCell ref="C347:C357"/>
    <mergeCell ref="G31:G33"/>
    <mergeCell ref="F455:F457"/>
    <mergeCell ref="H455:H457"/>
    <mergeCell ref="G235:G236"/>
    <mergeCell ref="U516:U518"/>
    <mergeCell ref="F260:F264"/>
    <mergeCell ref="C211:C236"/>
    <mergeCell ref="F60:F64"/>
    <mergeCell ref="F361:F362"/>
    <mergeCell ref="C576:C586"/>
    <mergeCell ref="H260:H264"/>
    <mergeCell ref="H361:H362"/>
    <mergeCell ref="H154:H160"/>
    <mergeCell ref="U40:U42"/>
    <mergeCell ref="B513:B524"/>
    <mergeCell ref="H513:H515"/>
    <mergeCell ref="U640:U642"/>
    <mergeCell ref="G468:G470"/>
    <mergeCell ref="G275:G278"/>
    <mergeCell ref="B450:B461"/>
    <mergeCell ref="H311:H315"/>
    <mergeCell ref="B410:B424"/>
    <mergeCell ref="G120:G122"/>
    <mergeCell ref="U486:U487"/>
    <mergeCell ref="U673:U674"/>
    <mergeCell ref="H546:H548"/>
    <mergeCell ref="G88:G89"/>
    <mergeCell ref="G405:G407"/>
    <mergeCell ref="F180:F183"/>
    <mergeCell ref="D564:D575"/>
    <mergeCell ref="F55:F59"/>
    <mergeCell ref="B645:B659"/>
    <mergeCell ref="F279:F280"/>
    <mergeCell ref="D437:D449"/>
    <mergeCell ref="A600:A614"/>
    <mergeCell ref="G543:G545"/>
    <mergeCell ref="G481:G483"/>
    <mergeCell ref="U560:U561"/>
    <mergeCell ref="F607:F609"/>
    <mergeCell ref="A537:A550"/>
    <mergeCell ref="A615:A629"/>
    <mergeCell ref="C537:C550"/>
    <mergeCell ref="U656:U658"/>
    <mergeCell ref="F585:F586"/>
    <mergeCell ref="F572:F573"/>
    <mergeCell ref="U569:U571"/>
    <mergeCell ref="U593:U595"/>
    <mergeCell ref="F475:F477"/>
    <mergeCell ref="U286:U291"/>
    <mergeCell ref="U166:U174"/>
    <mergeCell ref="U665:U668"/>
    <mergeCell ref="F450:F452"/>
    <mergeCell ref="U86:U87"/>
    <mergeCell ref="H450:H452"/>
    <mergeCell ref="F437:F439"/>
    <mergeCell ref="F468:F470"/>
    <mergeCell ref="H468:H470"/>
    <mergeCell ref="H47:H49"/>
    <mergeCell ref="F340:F343"/>
    <mergeCell ref="F374:F375"/>
    <mergeCell ref="H443:H445"/>
    <mergeCell ref="U399:U401"/>
    <mergeCell ref="H374:H375"/>
    <mergeCell ref="U430:U432"/>
    <mergeCell ref="G100:G102"/>
    <mergeCell ref="U628:U629"/>
    <mergeCell ref="H248:H252"/>
    <mergeCell ref="U417:U419"/>
    <mergeCell ref="G69:G72"/>
    <mergeCell ref="G634:G636"/>
    <mergeCell ref="G230:G234"/>
    <mergeCell ref="B488:B499"/>
    <mergeCell ref="G652:G655"/>
    <mergeCell ref="D488:D499"/>
    <mergeCell ref="G393:G394"/>
    <mergeCell ref="H106:H110"/>
    <mergeCell ref="B425:B436"/>
    <mergeCell ref="D425:D436"/>
    <mergeCell ref="F34:F36"/>
    <mergeCell ref="G402:G404"/>
    <mergeCell ref="F528:F530"/>
    <mergeCell ref="H330:H334"/>
    <mergeCell ref="G97:G99"/>
    <mergeCell ref="A90:A105"/>
    <mergeCell ref="U223:U229"/>
    <mergeCell ref="F465:F467"/>
    <mergeCell ref="F321:F323"/>
    <mergeCell ref="H350:H352"/>
    <mergeCell ref="F126:F130"/>
    <mergeCell ref="H55:H59"/>
    <mergeCell ref="F598:F599"/>
    <mergeCell ref="F560:F561"/>
    <mergeCell ref="F100:F102"/>
    <mergeCell ref="F94:F96"/>
    <mergeCell ref="U175:U179"/>
    <mergeCell ref="H560:H561"/>
    <mergeCell ref="U600:U603"/>
    <mergeCell ref="H94:H96"/>
    <mergeCell ref="F634:F636"/>
    <mergeCell ref="U519:U521"/>
    <mergeCell ref="H325:H329"/>
    <mergeCell ref="B347:B357"/>
    <mergeCell ref="F31:F33"/>
    <mergeCell ref="B475:B487"/>
    <mergeCell ref="G649:G651"/>
    <mergeCell ref="U615:U618"/>
    <mergeCell ref="G192:G194"/>
    <mergeCell ref="U347:U349"/>
    <mergeCell ref="U211:U216"/>
    <mergeCell ref="G446:G447"/>
    <mergeCell ref="H587:H589"/>
    <mergeCell ref="A551:A563"/>
    <mergeCell ref="G260:G264"/>
    <mergeCell ref="D576:D586"/>
    <mergeCell ref="A513:A524"/>
    <mergeCell ref="C513:C524"/>
    <mergeCell ref="G460:G461"/>
    <mergeCell ref="A450:A461"/>
    <mergeCell ref="G311:G315"/>
    <mergeCell ref="A410:A424"/>
    <mergeCell ref="F120:F122"/>
    <mergeCell ref="F286:F291"/>
    <mergeCell ref="F209:F210"/>
    <mergeCell ref="G546:G548"/>
    <mergeCell ref="G350:G352"/>
    <mergeCell ref="A564:A575"/>
    <mergeCell ref="U367:U368"/>
    <mergeCell ref="U203:U205"/>
    <mergeCell ref="C564:C575"/>
    <mergeCell ref="U488:U490"/>
    <mergeCell ref="A645:A659"/>
    <mergeCell ref="D382:D394"/>
    <mergeCell ref="F281:F285"/>
    <mergeCell ref="C645:C659"/>
    <mergeCell ref="U140:U142"/>
    <mergeCell ref="F509:F510"/>
    <mergeCell ref="H509:H510"/>
    <mergeCell ref="F43:F46"/>
    <mergeCell ref="F478:F480"/>
    <mergeCell ref="U425:U427"/>
    <mergeCell ref="H503:H505"/>
    <mergeCell ref="U270:U274"/>
    <mergeCell ref="B537:B550"/>
    <mergeCell ref="F446:F447"/>
    <mergeCell ref="H382:H384"/>
    <mergeCell ref="U471:U472"/>
    <mergeCell ref="H335:H339"/>
    <mergeCell ref="H446:H447"/>
    <mergeCell ref="F511:F512"/>
    <mergeCell ref="U458:U459"/>
    <mergeCell ref="U440:U442"/>
    <mergeCell ref="U408:U409"/>
    <mergeCell ref="U473:U474"/>
    <mergeCell ref="G103:G105"/>
    <mergeCell ref="U69:U72"/>
    <mergeCell ref="H675:H676"/>
    <mergeCell ref="U531:U533"/>
    <mergeCell ref="F471:F472"/>
    <mergeCell ref="F300:F301"/>
    <mergeCell ref="U669:U672"/>
    <mergeCell ref="G637:G639"/>
    <mergeCell ref="A462:A474"/>
    <mergeCell ref="A325:A346"/>
    <mergeCell ref="C325:C346"/>
    <mergeCell ref="G410:G413"/>
    <mergeCell ref="F473:F474"/>
    <mergeCell ref="G248:G252"/>
    <mergeCell ref="H100:H102"/>
    <mergeCell ref="F69:F72"/>
    <mergeCell ref="F522:F523"/>
    <mergeCell ref="H656:H658"/>
    <mergeCell ref="U321:U323"/>
    <mergeCell ref="F305:F310"/>
    <mergeCell ref="F652:F655"/>
    <mergeCell ref="U484:U485"/>
    <mergeCell ref="C488:C499"/>
    <mergeCell ref="H562:H563"/>
    <mergeCell ref="F393:F394"/>
    <mergeCell ref="F593:F595"/>
    <mergeCell ref="H393:H394"/>
    <mergeCell ref="G503:G505"/>
    <mergeCell ref="H593:H595"/>
    <mergeCell ref="H286:H291"/>
    <mergeCell ref="H600:H603"/>
    <mergeCell ref="G40:G42"/>
    <mergeCell ref="C425:C436"/>
    <mergeCell ref="U355:U356"/>
    <mergeCell ref="H88:H89"/>
    <mergeCell ref="G640:G642"/>
    <mergeCell ref="F402:F404"/>
    <mergeCell ref="U420:U422"/>
    <mergeCell ref="H402:H404"/>
    <mergeCell ref="C195:C210"/>
    <mergeCell ref="G673:G674"/>
    <mergeCell ref="F103:F105"/>
    <mergeCell ref="H103:H105"/>
    <mergeCell ref="G131:G133"/>
    <mergeCell ref="H97:H99"/>
    <mergeCell ref="F637:F639"/>
    <mergeCell ref="U395:U398"/>
    <mergeCell ref="G65:G68"/>
    <mergeCell ref="H637:H639"/>
    <mergeCell ref="U649:U651"/>
    <mergeCell ref="G585:G586"/>
    <mergeCell ref="G161:G165"/>
    <mergeCell ref="U316:U320"/>
    <mergeCell ref="G560:G561"/>
    <mergeCell ref="H410:H413"/>
    <mergeCell ref="U253:U256"/>
    <mergeCell ref="H590:H592"/>
    <mergeCell ref="G414:G416"/>
    <mergeCell ref="G358:G360"/>
    <mergeCell ref="G656:G658"/>
    <mergeCell ref="A347:A357"/>
    <mergeCell ref="A475:A487"/>
    <mergeCell ref="F192:F194"/>
    <mergeCell ref="G562:G563"/>
    <mergeCell ref="F316:F320"/>
    <mergeCell ref="G600:G603"/>
    <mergeCell ref="D358:D368"/>
    <mergeCell ref="G286:G291"/>
    <mergeCell ref="G587:G589"/>
    <mergeCell ref="U433:U434"/>
    <mergeCell ref="G665:G668"/>
    <mergeCell ref="C437:C449"/>
    <mergeCell ref="G86:G87"/>
    <mergeCell ref="F581:F582"/>
    <mergeCell ref="F448:F449"/>
    <mergeCell ref="U497:U498"/>
    <mergeCell ref="U435:U436"/>
    <mergeCell ref="F311:F315"/>
    <mergeCell ref="F65:F68"/>
    <mergeCell ref="U83:U85"/>
    <mergeCell ref="H16:H18"/>
    <mergeCell ref="F519:F521"/>
    <mergeCell ref="F494:F496"/>
    <mergeCell ref="G209:G210"/>
    <mergeCell ref="F350:F352"/>
    <mergeCell ref="U115:U119"/>
    <mergeCell ref="U6:U9"/>
    <mergeCell ref="H519:H521"/>
    <mergeCell ref="F481:F483"/>
    <mergeCell ref="H543:H545"/>
    <mergeCell ref="H494:H496"/>
    <mergeCell ref="U604:U606"/>
    <mergeCell ref="H537:H539"/>
    <mergeCell ref="F543:F545"/>
    <mergeCell ref="B564:B575"/>
    <mergeCell ref="U585:U586"/>
    <mergeCell ref="B175:B194"/>
    <mergeCell ref="H615:H618"/>
    <mergeCell ref="H211:H216"/>
    <mergeCell ref="H347:H349"/>
    <mergeCell ref="G281:G285"/>
    <mergeCell ref="C382:C394"/>
    <mergeCell ref="U572:U573"/>
    <mergeCell ref="G330:G334"/>
    <mergeCell ref="H414:H416"/>
    <mergeCell ref="G509:G510"/>
    <mergeCell ref="F619:F621"/>
    <mergeCell ref="G513:G515"/>
    <mergeCell ref="G478:G480"/>
    <mergeCell ref="D106:D125"/>
    <mergeCell ref="G511:G512"/>
    <mergeCell ref="U184:U187"/>
    <mergeCell ref="A630:A644"/>
    <mergeCell ref="C630:C644"/>
    <mergeCell ref="U363:U364"/>
    <mergeCell ref="G448:G449"/>
    <mergeCell ref="H367:H368"/>
    <mergeCell ref="C37:C54"/>
    <mergeCell ref="D6:D21"/>
    <mergeCell ref="U388:U390"/>
    <mergeCell ref="U195:U198"/>
    <mergeCell ref="F199:F202"/>
    <mergeCell ref="H199:H202"/>
    <mergeCell ref="F353:F354"/>
    <mergeCell ref="H237:H242"/>
    <mergeCell ref="B325:B346"/>
    <mergeCell ref="G519:G521"/>
    <mergeCell ref="U551:U553"/>
    <mergeCell ref="H270:H274"/>
    <mergeCell ref="C587:C599"/>
    <mergeCell ref="U25:U27"/>
    <mergeCell ref="G137:G139"/>
    <mergeCell ref="G305:G310"/>
    <mergeCell ref="U423:U424"/>
    <mergeCell ref="H460:H461"/>
    <mergeCell ref="U643:U644"/>
    <mergeCell ref="U90:U93"/>
    <mergeCell ref="G593:G595"/>
    <mergeCell ref="U131:U133"/>
    <mergeCell ref="G166:G174"/>
    <mergeCell ref="B395:B409"/>
    <mergeCell ref="B525:B536"/>
    <mergeCell ref="G325:G329"/>
    <mergeCell ref="U465:U467"/>
    <mergeCell ref="D525:D536"/>
    <mergeCell ref="B55:B75"/>
    <mergeCell ref="H640:H642"/>
    <mergeCell ref="D55:D75"/>
    <mergeCell ref="D175:D194"/>
    <mergeCell ref="G335:G339"/>
    <mergeCell ref="H6:H9"/>
    <mergeCell ref="B630:B644"/>
    <mergeCell ref="F230:F234"/>
    <mergeCell ref="H673:H674"/>
    <mergeCell ref="D630:D644"/>
    <mergeCell ref="G203:G205"/>
    <mergeCell ref="G367:G368"/>
    <mergeCell ref="G628:G629"/>
    <mergeCell ref="F500:F502"/>
    <mergeCell ref="G199:G202"/>
    <mergeCell ref="F123:F125"/>
    <mergeCell ref="D281:D304"/>
    <mergeCell ref="F161:F165"/>
    <mergeCell ref="F235:F236"/>
    <mergeCell ref="F73:F75"/>
    <mergeCell ref="U217:U222"/>
    <mergeCell ref="A260:A280"/>
    <mergeCell ref="F564:F566"/>
    <mergeCell ref="U376:U377"/>
    <mergeCell ref="C22:C36"/>
    <mergeCell ref="G154:G160"/>
    <mergeCell ref="D587:D599"/>
    <mergeCell ref="G270:G274"/>
    <mergeCell ref="F358:F360"/>
    <mergeCell ref="U534:U535"/>
    <mergeCell ref="F656:F658"/>
    <mergeCell ref="U126:U130"/>
    <mergeCell ref="F137:F139"/>
    <mergeCell ref="H355:H356"/>
    <mergeCell ref="U22:U24"/>
    <mergeCell ref="H137:H139"/>
    <mergeCell ref="F391:F392"/>
    <mergeCell ref="H391:H392"/>
    <mergeCell ref="F600:F603"/>
    <mergeCell ref="U180:U183"/>
    <mergeCell ref="U378:U379"/>
    <mergeCell ref="U385:U387"/>
    <mergeCell ref="U549:U550"/>
    <mergeCell ref="H622:H624"/>
    <mergeCell ref="G450:G452"/>
    <mergeCell ref="F665:F668"/>
    <mergeCell ref="H665:H668"/>
    <mergeCell ref="H86:H87"/>
    <mergeCell ref="C525:C536"/>
    <mergeCell ref="G437:G439"/>
    <mergeCell ref="U80:U82"/>
    <mergeCell ref="U143:U148"/>
    <mergeCell ref="A55:A75"/>
    <mergeCell ref="C55:C75"/>
    <mergeCell ref="H195:H198"/>
    <mergeCell ref="A237:A259"/>
    <mergeCell ref="G340:G343"/>
    <mergeCell ref="F195:F198"/>
    <mergeCell ref="G581:G582"/>
    <mergeCell ref="U613:U614"/>
    <mergeCell ref="G10:G12"/>
    <mergeCell ref="U607:U609"/>
    <mergeCell ref="U281:U285"/>
    <mergeCell ref="F399:F401"/>
    <mergeCell ref="H645:H648"/>
    <mergeCell ref="H399:H401"/>
    <mergeCell ref="G175:G179"/>
    <mergeCell ref="D305:D324"/>
    <mergeCell ref="G596:G597"/>
    <mergeCell ref="H579:H580"/>
    <mergeCell ref="U302:U304"/>
    <mergeCell ref="H417:H419"/>
    <mergeCell ref="G494:G496"/>
    <mergeCell ref="U660:U664"/>
    <mergeCell ref="A211:A236"/>
    <mergeCell ref="G615:G618"/>
    <mergeCell ref="A576:A586"/>
    <mergeCell ref="G211:G216"/>
    <mergeCell ref="B22:B36"/>
    <mergeCell ref="F154:F160"/>
    <mergeCell ref="D22:D36"/>
    <mergeCell ref="F513:F515"/>
    <mergeCell ref="G355:G356"/>
    <mergeCell ref="U525:U527"/>
    <mergeCell ref="F37:F39"/>
    <mergeCell ref="H37:H39"/>
    <mergeCell ref="F546:F548"/>
    <mergeCell ref="B500:B512"/>
    <mergeCell ref="U462:U464"/>
    <mergeCell ref="C260:C280"/>
    <mergeCell ref="U554:U556"/>
    <mergeCell ref="U437:U439"/>
    <mergeCell ref="H564:H566"/>
    <mergeCell ref="A106:A125"/>
    <mergeCell ref="B237:B259"/>
    <mergeCell ref="U206:U208"/>
    <mergeCell ref="F10:F12"/>
    <mergeCell ref="B437:B449"/>
    <mergeCell ref="B37:B54"/>
    <mergeCell ref="U522:U523"/>
    <mergeCell ref="U340:U343"/>
    <mergeCell ref="U209:U210"/>
    <mergeCell ref="H604:H606"/>
    <mergeCell ref="U491:U493"/>
    <mergeCell ref="F175:F179"/>
    <mergeCell ref="U60:U64"/>
    <mergeCell ref="U34:U36"/>
    <mergeCell ref="G140:G142"/>
    <mergeCell ref="G382:G384"/>
    <mergeCell ref="U506:U508"/>
    <mergeCell ref="U257:U259"/>
    <mergeCell ref="G425:G427"/>
    <mergeCell ref="F615:F618"/>
    <mergeCell ref="U43:U46"/>
    <mergeCell ref="G433:G434"/>
    <mergeCell ref="G440:G442"/>
    <mergeCell ref="G408:G409"/>
    <mergeCell ref="F166:F174"/>
    <mergeCell ref="H166:H174"/>
    <mergeCell ref="F534:F535"/>
    <mergeCell ref="A395:A409"/>
    <mergeCell ref="U149:U153"/>
    <mergeCell ref="H76:H79"/>
    <mergeCell ref="F325:F329"/>
    <mergeCell ref="C395:C409"/>
    <mergeCell ref="G435:G436"/>
    <mergeCell ref="A500:A512"/>
    <mergeCell ref="F503:F505"/>
    <mergeCell ref="H534:H535"/>
    <mergeCell ref="G37:G39"/>
    <mergeCell ref="F443:F445"/>
    <mergeCell ref="G497:G498"/>
    <mergeCell ref="C500:C512"/>
    <mergeCell ref="G540:G542"/>
    <mergeCell ref="F335:F339"/>
    <mergeCell ref="U188:U191"/>
    <mergeCell ref="C175:C194"/>
    <mergeCell ref="H551:H553"/>
    <mergeCell ref="F367:F368"/>
    <mergeCell ref="H203:H205"/>
    <mergeCell ref="F628:F629"/>
    <mergeCell ref="U557:U559"/>
    <mergeCell ref="U243:U247"/>
    <mergeCell ref="H628:H629"/>
  </mergeCells>
  <conditionalFormatting sqref="R6:R676">
    <cfRule type="cellIs" priority="2" operator="equal" dxfId="4">
      <formula>"Memenuhi"</formula>
    </cfRule>
    <cfRule type="cellIs" priority="3" operator="equal" dxfId="3">
      <formula>"Memenuhi Sebagian"</formula>
    </cfRule>
    <cfRule type="cellIs" priority="4" operator="equal" dxfId="0">
      <formula>"Tidak Memenuhi"</formula>
    </cfRule>
  </conditionalFormatting>
  <dataValidations count="3">
    <dataValidation sqref="K6:K676" showDropDown="0" showInputMessage="0" showErrorMessage="1" allowBlank="1" error="Pilih dari daftar" type="list">
      <formula1>"Ada,Tidak Ada,N/A"</formula1>
      <formula2>0</formula2>
    </dataValidation>
    <dataValidation sqref="M6:N676" showDropDown="0" showInputMessage="0" showErrorMessage="1" allowBlank="1" error="Pilih dari daftar" type="list">
      <formula1>"Ya,Tidak"</formula1>
      <formula2>0</formula2>
    </dataValidation>
    <dataValidation sqref="O6:O676" showDropDown="0" showInputMessage="0" showErrorMessage="1" allowBlank="1" error="Pilih dari daftar" type="list">
      <formula1>"Sesuai,Sebagian,Tidak Sesuai"</formula1>
      <formula2>0</formula2>
    </dataValidation>
  </dataValidations>
  <printOptions horizontalCentered="1"/>
  <pageMargins left="0.75" right="0.75" top="1" bottom="1" header="0.511811023622047" footer="0.5"/>
  <pageSetup orientation="landscape" paperSize="5" fitToHeight="0" horizontalDpi="300" verticalDpi="300"/>
  <headerFooter>
    <oddHeader/>
    <oddFooter>&amp;CHal. &amp;P dari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S51"/>
  <sheetViews>
    <sheetView tabSelected="1" zoomScaleNormal="100" workbookViewId="0">
      <pane xSplit="5" ySplit="4" topLeftCell="K44" activePane="bottomRight" state="frozen"/>
      <selection pane="topRight" activeCell="F1" sqref="F1"/>
      <selection pane="bottomLeft" activeCell="A5" sqref="A5"/>
      <selection pane="bottomRight" activeCell="O49" sqref="O49"/>
    </sheetView>
  </sheetViews>
  <sheetFormatPr baseColWidth="8" defaultColWidth="8.6640625" defaultRowHeight="14.25"/>
  <cols>
    <col width="5" customWidth="1" min="1" max="1"/>
    <col width="8" customWidth="1" min="2" max="2"/>
    <col width="26" customWidth="1" min="3" max="3"/>
    <col width="5" customWidth="1" min="4" max="4"/>
    <col width="44" customWidth="1" min="5" max="5"/>
    <col width="7" customWidth="1" min="6" max="9"/>
    <col width="9" customWidth="1" min="10" max="14"/>
    <col width="12" customWidth="1" min="15" max="15"/>
    <col width="9" customWidth="1" min="16" max="16"/>
    <col width="8" customWidth="1" min="17" max="17"/>
    <col width="30" customWidth="1" min="18" max="18"/>
    <col hidden="1" width="13" customWidth="1" min="19" max="19"/>
  </cols>
  <sheetData>
    <row r="1" ht="15.4" customHeight="1">
      <c r="A1" s="15" t="inlineStr">
        <is>
          <t>REKAPITULASI HASIL PENJAMINAN KUALITAS / QUALITY ASSURANCE APIP PER PARAMETER DAN GRADE</t>
        </is>
      </c>
    </row>
    <row r="2">
      <c r="A2" s="16">
        <f>"OPD: "&amp;IF(Petunjuk!$C$5="","..........",Petunjuk!$C$5)&amp;"     |     Tahun Penilaian: "&amp;IF(Petunjuk!$C$6="","....",Petunjuk!$C$6)</f>
        <v/>
      </c>
    </row>
    <row r="4" ht="42" customHeight="1">
      <c r="A4" s="17" t="inlineStr">
        <is>
          <t>No</t>
        </is>
      </c>
      <c r="B4" s="17" t="inlineStr">
        <is>
          <t>Kode
Subunsur</t>
        </is>
      </c>
      <c r="C4" s="17" t="inlineStr">
        <is>
          <t>Uraian Subunsur</t>
        </is>
      </c>
      <c r="D4" s="17" t="inlineStr">
        <is>
          <t>No
Par.</t>
        </is>
      </c>
      <c r="E4" s="17" t="inlineStr">
        <is>
          <t>Uraian Parameter</t>
        </is>
      </c>
      <c r="F4" s="17" t="inlineStr">
        <is>
          <t>Jml
Item</t>
        </is>
      </c>
      <c r="G4" s="17" t="inlineStr">
        <is>
          <t>Item
N/A</t>
        </is>
      </c>
      <c r="H4" s="17" t="inlineStr">
        <is>
          <t>Item
Dinilai</t>
        </is>
      </c>
      <c r="I4" s="17" t="inlineStr">
        <is>
          <t>Belum
Dinilai</t>
        </is>
      </c>
      <c r="J4" s="17" t="inlineStr">
        <is>
          <t>% Grade E</t>
        </is>
      </c>
      <c r="K4" s="17" t="inlineStr">
        <is>
          <t>% Grade D</t>
        </is>
      </c>
      <c r="L4" s="17" t="inlineStr">
        <is>
          <t>% Grade C</t>
        </is>
      </c>
      <c r="M4" s="17" t="inlineStr">
        <is>
          <t>% Grade B</t>
        </is>
      </c>
      <c r="N4" s="17" t="inlineStr">
        <is>
          <t>% Grade A</t>
        </is>
      </c>
      <c r="O4" s="17" t="inlineStr">
        <is>
          <t>% Pemenuhan
Parameter</t>
        </is>
      </c>
      <c r="P4" s="17" t="inlineStr">
        <is>
          <t>Grade
Indikatif</t>
        </is>
      </c>
      <c r="Q4" s="17" t="inlineStr">
        <is>
          <t>Level
Indikatif</t>
        </is>
      </c>
      <c r="R4" s="17" t="inlineStr">
        <is>
          <t>Grade berikutnya yang perlu dilengkapi</t>
        </is>
      </c>
    </row>
    <row r="5" ht="23.25" customHeight="1">
      <c r="A5" s="28" t="n">
        <v>1</v>
      </c>
      <c r="B5" s="28" t="inlineStr">
        <is>
          <t>1.1</t>
        </is>
      </c>
      <c r="C5" s="37" t="inlineStr">
        <is>
          <t>Penegakan Integritas dan Nilai Etika</t>
        </is>
      </c>
      <c r="D5" s="28" t="n">
        <v>1</v>
      </c>
      <c r="E5" s="37">
        <f>IFERROR(INDEX(FILTER('KK Penjaminan Kualitas'!$D$6:$D$676,'KK Penjaminan Kualitas'!$A$6:$A$676=B5,'KK Penjaminan Kualitas'!$C$6:$C$676=D5),1),"")</f>
        <v/>
      </c>
      <c r="F5" s="28">
        <f>COUNTIFS('KK Penjaminan Kualitas'!$T$6:$T$676,$S5,'KK Penjaminan Kualitas'!$J$6:$J$676,"&lt;&gt;")</f>
        <v/>
      </c>
      <c r="G5" s="28">
        <f>COUNTIFS('KK Penjaminan Kualitas'!$T$6:$T$676,$S5,'KK Penjaminan Kualitas'!$L$6:$L$676,"N/A")</f>
        <v/>
      </c>
      <c r="H5" s="28">
        <f>SUMPRODUCT(('KK Penjaminan Kualitas'!$T$6:$T$676=$S5)*ISNUMBER('KK Penjaminan Kualitas'!$R$6:$R$676))</f>
        <v/>
      </c>
      <c r="I5" s="28">
        <f>F5-G5-H5</f>
        <v/>
      </c>
      <c r="J5" s="63">
        <f>IFERROR(SUMIFS('KK Penjaminan Kualitas'!$R$6:$R$676,'KK Penjaminan Kualitas'!$T$6:$T$676,$S5,'KK Penjaminan Kualitas'!$E$6:$E$676,"E")/SUMPRODUCT(('KK Penjaminan Kualitas'!$T$6:$T$676=$S5)*('KK Penjaminan Kualitas'!$E$6:$E$676="E")*ISNUMBER('KK Penjaminan Kualitas'!$R$6:$R$676)),"")</f>
        <v/>
      </c>
      <c r="K5" s="63">
        <f>IFERROR(SUMIFS('KK Penjaminan Kualitas'!$R$6:$R$676,'KK Penjaminan Kualitas'!$T$6:$T$676,$S5,'KK Penjaminan Kualitas'!$E$6:$E$676,"D")/SUMPRODUCT(('KK Penjaminan Kualitas'!$T$6:$T$676=$S5)*('KK Penjaminan Kualitas'!$E$6:$E$676="D")*ISNUMBER('KK Penjaminan Kualitas'!$R$6:$R$676)),"")</f>
        <v/>
      </c>
      <c r="L5" s="63">
        <f>IFERROR(SUMIFS('KK Penjaminan Kualitas'!$R$6:$R$676,'KK Penjaminan Kualitas'!$T$6:$T$676,$S5,'KK Penjaminan Kualitas'!$E$6:$E$676,"C")/SUMPRODUCT(('KK Penjaminan Kualitas'!$T$6:$T$676=$S5)*('KK Penjaminan Kualitas'!$E$6:$E$676="C")*ISNUMBER('KK Penjaminan Kualitas'!$R$6:$R$676)),"")</f>
        <v/>
      </c>
      <c r="M5" s="63">
        <f>IFERROR(SUMIFS('KK Penjaminan Kualitas'!$R$6:$R$676,'KK Penjaminan Kualitas'!$T$6:$T$676,$S5,'KK Penjaminan Kualitas'!$E$6:$E$676,"B")/SUMPRODUCT(('KK Penjaminan Kualitas'!$T$6:$T$676=$S5)*('KK Penjaminan Kualitas'!$E$6:$E$676="B")*ISNUMBER('KK Penjaminan Kualitas'!$R$6:$R$676)),"")</f>
        <v/>
      </c>
      <c r="N5" s="63">
        <f>IFERROR(SUMIFS('KK Penjaminan Kualitas'!$R$6:$R$676,'KK Penjaminan Kualitas'!$T$6:$T$676,$S5,'KK Penjaminan Kualitas'!$E$6:$E$676,"A")/SUMPRODUCT(('KK Penjaminan Kualitas'!$T$6:$T$676=$S5)*('KK Penjaminan Kualitas'!$E$6:$E$676="A")*ISNUMBER('KK Penjaminan Kualitas'!$R$6:$R$676)),"")</f>
        <v/>
      </c>
      <c r="O5" s="38">
        <f>IF(H5=0,"",SUMIFS('KK Penjaminan Kualitas'!$R$6:$R$676,'KK Penjaminan Kualitas'!$T$6:$T$676,$S5)/H5)</f>
        <v/>
      </c>
      <c r="P5" s="30">
        <f>IF(Q5="","",IF(Q5=0,"&lt; E",MID("EDCBA",Q5,1)))</f>
        <v/>
      </c>
      <c r="Q5" s="30">
        <f>IF(H5=0,"",IF(NOT(AND(ISNUMBER(J5),J5&gt;=Petunjuk!$C$14)),0,IF(NOT(AND(ISNUMBER(K5),K5&gt;=Petunjuk!$C$14)),1,IF(NOT(AND(ISNUMBER(L5),L5&gt;=Petunjuk!$C$14)),2,IF(NOT(AND(ISNUMBER(M5),M5&gt;=Petunjuk!$C$14)),3,IF(NOT(AND(ISNUMBER(N5),N5&gt;=Petunjuk!$C$14)),4,5))))))</f>
        <v/>
      </c>
      <c r="R5" s="37">
        <f>IF(Q5="","Belum dinilai",IF(Q5=5,"Seluruh grade terpenuhi","Lengkapi evidence Grade "&amp;MID("EDCBA",Q5+1,1)&amp;IF(I5&gt;0," ("&amp;I5&amp;" item belum dinilai)","")))</f>
        <v/>
      </c>
      <c r="S5" s="39" t="inlineStr">
        <is>
          <t>1.1-1</t>
        </is>
      </c>
    </row>
    <row r="6" ht="23.25" customHeight="1">
      <c r="A6" s="28" t="n">
        <v>2</v>
      </c>
      <c r="B6" s="28" t="inlineStr">
        <is>
          <t>1.2</t>
        </is>
      </c>
      <c r="C6" s="37" t="inlineStr">
        <is>
          <t>Komitmen terhadap Kompetensi</t>
        </is>
      </c>
      <c r="D6" s="28" t="n">
        <v>1</v>
      </c>
      <c r="E6" s="37">
        <f>IFERROR(INDEX(FILTER('KK Penjaminan Kualitas'!$D$6:$D$676,'KK Penjaminan Kualitas'!$A$6:$A$676=B6,'KK Penjaminan Kualitas'!$C$6:$C$676=D6),1),"")</f>
        <v/>
      </c>
      <c r="F6" s="28">
        <f>COUNTIFS('KK Penjaminan Kualitas'!$T$6:$T$676,$S6,'KK Penjaminan Kualitas'!$J$6:$J$676,"&lt;&gt;")</f>
        <v/>
      </c>
      <c r="G6" s="28">
        <f>COUNTIFS('KK Penjaminan Kualitas'!$T$6:$T$676,$S6,'KK Penjaminan Kualitas'!$L$6:$L$676,"N/A")</f>
        <v/>
      </c>
      <c r="H6" s="28">
        <f>SUMPRODUCT(('KK Penjaminan Kualitas'!$T$6:$T$676=$S6)*ISNUMBER('KK Penjaminan Kualitas'!$R$6:$R$676))</f>
        <v/>
      </c>
      <c r="I6" s="28">
        <f>F6-G6-H6</f>
        <v/>
      </c>
      <c r="J6" s="63">
        <f>IFERROR(SUMIFS('KK Penjaminan Kualitas'!$R$6:$R$676,'KK Penjaminan Kualitas'!$T$6:$T$676,$S6,'KK Penjaminan Kualitas'!$E$6:$E$676,"E")/SUMPRODUCT(('KK Penjaminan Kualitas'!$T$6:$T$676=$S6)*('KK Penjaminan Kualitas'!$E$6:$E$676="E")*ISNUMBER('KK Penjaminan Kualitas'!$R$6:$R$676)),"")</f>
        <v/>
      </c>
      <c r="K6" s="63">
        <f>IFERROR(SUMIFS('KK Penjaminan Kualitas'!$R$6:$R$676,'KK Penjaminan Kualitas'!$T$6:$T$676,$S6,'KK Penjaminan Kualitas'!$E$6:$E$676,"D")/SUMPRODUCT(('KK Penjaminan Kualitas'!$T$6:$T$676=$S6)*('KK Penjaminan Kualitas'!$E$6:$E$676="D")*ISNUMBER('KK Penjaminan Kualitas'!$R$6:$R$676)),"")</f>
        <v/>
      </c>
      <c r="L6" s="63">
        <f>IFERROR(SUMIFS('KK Penjaminan Kualitas'!$R$6:$R$676,'KK Penjaminan Kualitas'!$T$6:$T$676,$S6,'KK Penjaminan Kualitas'!$E$6:$E$676,"C")/SUMPRODUCT(('KK Penjaminan Kualitas'!$T$6:$T$676=$S6)*('KK Penjaminan Kualitas'!$E$6:$E$676="C")*ISNUMBER('KK Penjaminan Kualitas'!$R$6:$R$676)),"")</f>
        <v/>
      </c>
      <c r="M6" s="63">
        <f>IFERROR(SUMIFS('KK Penjaminan Kualitas'!$R$6:$R$676,'KK Penjaminan Kualitas'!$T$6:$T$676,$S6,'KK Penjaminan Kualitas'!$E$6:$E$676,"B")/SUMPRODUCT(('KK Penjaminan Kualitas'!$T$6:$T$676=$S6)*('KK Penjaminan Kualitas'!$E$6:$E$676="B")*ISNUMBER('KK Penjaminan Kualitas'!$R$6:$R$676)),"")</f>
        <v/>
      </c>
      <c r="N6" s="63">
        <f>IFERROR(SUMIFS('KK Penjaminan Kualitas'!$R$6:$R$676,'KK Penjaminan Kualitas'!$T$6:$T$676,$S6,'KK Penjaminan Kualitas'!$E$6:$E$676,"A")/SUMPRODUCT(('KK Penjaminan Kualitas'!$T$6:$T$676=$S6)*('KK Penjaminan Kualitas'!$E$6:$E$676="A")*ISNUMBER('KK Penjaminan Kualitas'!$R$6:$R$676)),"")</f>
        <v/>
      </c>
      <c r="O6" s="38">
        <f>IF(H6=0,"",SUMIFS('KK Penjaminan Kualitas'!$R$6:$R$676,'KK Penjaminan Kualitas'!$T$6:$T$676,$S6)/H6)</f>
        <v/>
      </c>
      <c r="P6" s="30">
        <f>IF(Q6="","",IF(Q6=0,"&lt; E",MID("EDCBA",Q6,1)))</f>
        <v/>
      </c>
      <c r="Q6" s="30">
        <f>IF(H6=0,"",IF(NOT(AND(ISNUMBER(J6),J6&gt;=Petunjuk!$C$14)),0,IF(NOT(AND(ISNUMBER(K6),K6&gt;=Petunjuk!$C$14)),1,IF(NOT(AND(ISNUMBER(L6),L6&gt;=Petunjuk!$C$14)),2,IF(NOT(AND(ISNUMBER(M6),M6&gt;=Petunjuk!$C$14)),3,IF(NOT(AND(ISNUMBER(N6),N6&gt;=Petunjuk!$C$14)),4,5))))))</f>
        <v/>
      </c>
      <c r="R6" s="37">
        <f>IF(Q6="","Belum dinilai",IF(Q6=5,"Seluruh grade terpenuhi","Lengkapi evidence Grade "&amp;MID("EDCBA",Q6+1,1)&amp;IF(I6&gt;0," ("&amp;I6&amp;" item belum dinilai)","")))</f>
        <v/>
      </c>
      <c r="S6" s="39" t="inlineStr">
        <is>
          <t>1.2-1</t>
        </is>
      </c>
    </row>
    <row r="7" ht="34.9" customHeight="1">
      <c r="A7" s="28" t="n">
        <v>3</v>
      </c>
      <c r="B7" s="28" t="inlineStr">
        <is>
          <t>1.3</t>
        </is>
      </c>
      <c r="C7" s="37" t="inlineStr">
        <is>
          <t>Kepemimpinan yang Kondusif</t>
        </is>
      </c>
      <c r="D7" s="28" t="n">
        <v>1</v>
      </c>
      <c r="E7" s="37">
        <f>IFERROR(INDEX(FILTER('KK Penjaminan Kualitas'!$D$6:$D$676,'KK Penjaminan Kualitas'!$A$6:$A$676=B7,'KK Penjaminan Kualitas'!$C$6:$C$676=D7),1),"")</f>
        <v/>
      </c>
      <c r="F7" s="28">
        <f>COUNTIFS('KK Penjaminan Kualitas'!$T$6:$T$676,$S7,'KK Penjaminan Kualitas'!$J$6:$J$676,"&lt;&gt;")</f>
        <v/>
      </c>
      <c r="G7" s="28">
        <f>COUNTIFS('KK Penjaminan Kualitas'!$T$6:$T$676,$S7,'KK Penjaminan Kualitas'!$L$6:$L$676,"N/A")</f>
        <v/>
      </c>
      <c r="H7" s="28">
        <f>SUMPRODUCT(('KK Penjaminan Kualitas'!$T$6:$T$676=$S7)*ISNUMBER('KK Penjaminan Kualitas'!$R$6:$R$676))</f>
        <v/>
      </c>
      <c r="I7" s="28">
        <f>F7-G7-H7</f>
        <v/>
      </c>
      <c r="J7" s="63">
        <f>IFERROR(SUMIFS('KK Penjaminan Kualitas'!$R$6:$R$676,'KK Penjaminan Kualitas'!$T$6:$T$676,$S7,'KK Penjaminan Kualitas'!$E$6:$E$676,"E")/SUMPRODUCT(('KK Penjaminan Kualitas'!$T$6:$T$676=$S7)*('KK Penjaminan Kualitas'!$E$6:$E$676="E")*ISNUMBER('KK Penjaminan Kualitas'!$R$6:$R$676)),"")</f>
        <v/>
      </c>
      <c r="K7" s="63">
        <f>IFERROR(SUMIFS('KK Penjaminan Kualitas'!$R$6:$R$676,'KK Penjaminan Kualitas'!$T$6:$T$676,$S7,'KK Penjaminan Kualitas'!$E$6:$E$676,"D")/SUMPRODUCT(('KK Penjaminan Kualitas'!$T$6:$T$676=$S7)*('KK Penjaminan Kualitas'!$E$6:$E$676="D")*ISNUMBER('KK Penjaminan Kualitas'!$R$6:$R$676)),"")</f>
        <v/>
      </c>
      <c r="L7" s="63">
        <f>IFERROR(SUMIFS('KK Penjaminan Kualitas'!$R$6:$R$676,'KK Penjaminan Kualitas'!$T$6:$T$676,$S7,'KK Penjaminan Kualitas'!$E$6:$E$676,"C")/SUMPRODUCT(('KK Penjaminan Kualitas'!$T$6:$T$676=$S7)*('KK Penjaminan Kualitas'!$E$6:$E$676="C")*ISNUMBER('KK Penjaminan Kualitas'!$R$6:$R$676)),"")</f>
        <v/>
      </c>
      <c r="M7" s="63">
        <f>IFERROR(SUMIFS('KK Penjaminan Kualitas'!$R$6:$R$676,'KK Penjaminan Kualitas'!$T$6:$T$676,$S7,'KK Penjaminan Kualitas'!$E$6:$E$676,"B")/SUMPRODUCT(('KK Penjaminan Kualitas'!$T$6:$T$676=$S7)*('KK Penjaminan Kualitas'!$E$6:$E$676="B")*ISNUMBER('KK Penjaminan Kualitas'!$R$6:$R$676)),"")</f>
        <v/>
      </c>
      <c r="N7" s="63">
        <f>IFERROR(SUMIFS('KK Penjaminan Kualitas'!$R$6:$R$676,'KK Penjaminan Kualitas'!$T$6:$T$676,$S7,'KK Penjaminan Kualitas'!$E$6:$E$676,"A")/SUMPRODUCT(('KK Penjaminan Kualitas'!$T$6:$T$676=$S7)*('KK Penjaminan Kualitas'!$E$6:$E$676="A")*ISNUMBER('KK Penjaminan Kualitas'!$R$6:$R$676)),"")</f>
        <v/>
      </c>
      <c r="O7" s="38">
        <f>IF(H7=0,"",SUMIFS('KK Penjaminan Kualitas'!$R$6:$R$676,'KK Penjaminan Kualitas'!$T$6:$T$676,$S7)/H7)</f>
        <v/>
      </c>
      <c r="P7" s="30">
        <f>IF(Q7="","",IF(Q7=0,"&lt; E",MID("EDCBA",Q7,1)))</f>
        <v/>
      </c>
      <c r="Q7" s="30">
        <f>IF(H7=0,"",IF(NOT(AND(ISNUMBER(J7),J7&gt;=Petunjuk!$C$14)),0,IF(NOT(AND(ISNUMBER(K7),K7&gt;=Petunjuk!$C$14)),1,IF(NOT(AND(ISNUMBER(L7),L7&gt;=Petunjuk!$C$14)),2,IF(NOT(AND(ISNUMBER(M7),M7&gt;=Petunjuk!$C$14)),3,IF(NOT(AND(ISNUMBER(N7),N7&gt;=Petunjuk!$C$14)),4,5))))))</f>
        <v/>
      </c>
      <c r="R7" s="37">
        <f>IF(Q7="","Belum dinilai",IF(Q7=5,"Seluruh grade terpenuhi","Lengkapi evidence Grade "&amp;MID("EDCBA",Q7+1,1)&amp;IF(I7&gt;0," ("&amp;I7&amp;" item belum dinilai)","")))</f>
        <v/>
      </c>
      <c r="S7" s="39" t="inlineStr">
        <is>
          <t>1.3-1</t>
        </is>
      </c>
    </row>
    <row r="8" ht="23.25" customHeight="1">
      <c r="A8" s="28" t="n">
        <v>4</v>
      </c>
      <c r="B8" s="28" t="inlineStr">
        <is>
          <t>1.3</t>
        </is>
      </c>
      <c r="C8" s="37" t="inlineStr">
        <is>
          <t>Kepemimpinan yang Kondusif</t>
        </is>
      </c>
      <c r="D8" s="28" t="n">
        <v>2</v>
      </c>
      <c r="E8" s="37">
        <f>IFERROR(INDEX(FILTER('KK Penjaminan Kualitas'!$D$6:$D$676,'KK Penjaminan Kualitas'!$A$6:$A$676=B8,'KK Penjaminan Kualitas'!$C$6:$C$676=D8),1),"")</f>
        <v/>
      </c>
      <c r="F8" s="28">
        <f>COUNTIFS('KK Penjaminan Kualitas'!$T$6:$T$676,$S8,'KK Penjaminan Kualitas'!$J$6:$J$676,"&lt;&gt;")</f>
        <v/>
      </c>
      <c r="G8" s="28">
        <f>COUNTIFS('KK Penjaminan Kualitas'!$T$6:$T$676,$S8,'KK Penjaminan Kualitas'!$L$6:$L$676,"N/A")</f>
        <v/>
      </c>
      <c r="H8" s="28">
        <f>SUMPRODUCT(('KK Penjaminan Kualitas'!$T$6:$T$676=$S8)*ISNUMBER('KK Penjaminan Kualitas'!$R$6:$R$676))</f>
        <v/>
      </c>
      <c r="I8" s="28">
        <f>F8-G8-H8</f>
        <v/>
      </c>
      <c r="J8" s="63">
        <f>IFERROR(SUMIFS('KK Penjaminan Kualitas'!$R$6:$R$676,'KK Penjaminan Kualitas'!$T$6:$T$676,$S8,'KK Penjaminan Kualitas'!$E$6:$E$676,"E")/SUMPRODUCT(('KK Penjaminan Kualitas'!$T$6:$T$676=$S8)*('KK Penjaminan Kualitas'!$E$6:$E$676="E")*ISNUMBER('KK Penjaminan Kualitas'!$R$6:$R$676)),"")</f>
        <v/>
      </c>
      <c r="K8" s="63">
        <f>IFERROR(SUMIFS('KK Penjaminan Kualitas'!$R$6:$R$676,'KK Penjaminan Kualitas'!$T$6:$T$676,$S8,'KK Penjaminan Kualitas'!$E$6:$E$676,"D")/SUMPRODUCT(('KK Penjaminan Kualitas'!$T$6:$T$676=$S8)*('KK Penjaminan Kualitas'!$E$6:$E$676="D")*ISNUMBER('KK Penjaminan Kualitas'!$R$6:$R$676)),"")</f>
        <v/>
      </c>
      <c r="L8" s="63">
        <f>IFERROR(SUMIFS('KK Penjaminan Kualitas'!$R$6:$R$676,'KK Penjaminan Kualitas'!$T$6:$T$676,$S8,'KK Penjaminan Kualitas'!$E$6:$E$676,"C")/SUMPRODUCT(('KK Penjaminan Kualitas'!$T$6:$T$676=$S8)*('KK Penjaminan Kualitas'!$E$6:$E$676="C")*ISNUMBER('KK Penjaminan Kualitas'!$R$6:$R$676)),"")</f>
        <v/>
      </c>
      <c r="M8" s="63">
        <f>IFERROR(SUMIFS('KK Penjaminan Kualitas'!$R$6:$R$676,'KK Penjaminan Kualitas'!$T$6:$T$676,$S8,'KK Penjaminan Kualitas'!$E$6:$E$676,"B")/SUMPRODUCT(('KK Penjaminan Kualitas'!$T$6:$T$676=$S8)*('KK Penjaminan Kualitas'!$E$6:$E$676="B")*ISNUMBER('KK Penjaminan Kualitas'!$R$6:$R$676)),"")</f>
        <v/>
      </c>
      <c r="N8" s="63">
        <f>IFERROR(SUMIFS('KK Penjaminan Kualitas'!$R$6:$R$676,'KK Penjaminan Kualitas'!$T$6:$T$676,$S8,'KK Penjaminan Kualitas'!$E$6:$E$676,"A")/SUMPRODUCT(('KK Penjaminan Kualitas'!$T$6:$T$676=$S8)*('KK Penjaminan Kualitas'!$E$6:$E$676="A")*ISNUMBER('KK Penjaminan Kualitas'!$R$6:$R$676)),"")</f>
        <v/>
      </c>
      <c r="O8" s="38">
        <f>IF(H8=0,"",SUMIFS('KK Penjaminan Kualitas'!$R$6:$R$676,'KK Penjaminan Kualitas'!$T$6:$T$676,$S8)/H8)</f>
        <v/>
      </c>
      <c r="P8" s="30">
        <f>IF(Q8="","",IF(Q8=0,"&lt; E",MID("EDCBA",Q8,1)))</f>
        <v/>
      </c>
      <c r="Q8" s="30">
        <f>IF(H8=0,"",IF(NOT(AND(ISNUMBER(J8),J8&gt;=Petunjuk!$C$14)),0,IF(NOT(AND(ISNUMBER(K8),K8&gt;=Petunjuk!$C$14)),1,IF(NOT(AND(ISNUMBER(L8),L8&gt;=Petunjuk!$C$14)),2,IF(NOT(AND(ISNUMBER(M8),M8&gt;=Petunjuk!$C$14)),3,IF(NOT(AND(ISNUMBER(N8),N8&gt;=Petunjuk!$C$14)),4,5))))))</f>
        <v/>
      </c>
      <c r="R8" s="37">
        <f>IF(Q8="","Belum dinilai",IF(Q8=5,"Seluruh grade terpenuhi","Lengkapi evidence Grade "&amp;MID("EDCBA",Q8+1,1)&amp;IF(I8&gt;0," ("&amp;I8&amp;" item belum dinilai)","")))</f>
        <v/>
      </c>
      <c r="S8" s="39" t="inlineStr">
        <is>
          <t>1.3-2</t>
        </is>
      </c>
    </row>
    <row r="9" ht="23.25" customHeight="1">
      <c r="A9" s="28" t="n">
        <v>5</v>
      </c>
      <c r="B9" s="28" t="inlineStr">
        <is>
          <t>1.3</t>
        </is>
      </c>
      <c r="C9" s="37" t="inlineStr">
        <is>
          <t>Kepemimpinan yang Kondusif</t>
        </is>
      </c>
      <c r="D9" s="28" t="n">
        <v>3</v>
      </c>
      <c r="E9" s="37">
        <f>IFERROR(INDEX(FILTER('KK Penjaminan Kualitas'!$D$6:$D$676,'KK Penjaminan Kualitas'!$A$6:$A$676=B9,'KK Penjaminan Kualitas'!$C$6:$C$676=D9),1),"")</f>
        <v/>
      </c>
      <c r="F9" s="28">
        <f>COUNTIFS('KK Penjaminan Kualitas'!$T$6:$T$676,$S9,'KK Penjaminan Kualitas'!$J$6:$J$676,"&lt;&gt;")</f>
        <v/>
      </c>
      <c r="G9" s="28">
        <f>COUNTIFS('KK Penjaminan Kualitas'!$T$6:$T$676,$S9,'KK Penjaminan Kualitas'!$L$6:$L$676,"N/A")</f>
        <v/>
      </c>
      <c r="H9" s="28">
        <f>SUMPRODUCT(('KK Penjaminan Kualitas'!$T$6:$T$676=$S9)*ISNUMBER('KK Penjaminan Kualitas'!$R$6:$R$676))</f>
        <v/>
      </c>
      <c r="I9" s="28">
        <f>F9-G9-H9</f>
        <v/>
      </c>
      <c r="J9" s="63">
        <f>IFERROR(SUMIFS('KK Penjaminan Kualitas'!$R$6:$R$676,'KK Penjaminan Kualitas'!$T$6:$T$676,$S9,'KK Penjaminan Kualitas'!$E$6:$E$676,"E")/SUMPRODUCT(('KK Penjaminan Kualitas'!$T$6:$T$676=$S9)*('KK Penjaminan Kualitas'!$E$6:$E$676="E")*ISNUMBER('KK Penjaminan Kualitas'!$R$6:$R$676)),"")</f>
        <v/>
      </c>
      <c r="K9" s="63">
        <f>IFERROR(SUMIFS('KK Penjaminan Kualitas'!$R$6:$R$676,'KK Penjaminan Kualitas'!$T$6:$T$676,$S9,'KK Penjaminan Kualitas'!$E$6:$E$676,"D")/SUMPRODUCT(('KK Penjaminan Kualitas'!$T$6:$T$676=$S9)*('KK Penjaminan Kualitas'!$E$6:$E$676="D")*ISNUMBER('KK Penjaminan Kualitas'!$R$6:$R$676)),"")</f>
        <v/>
      </c>
      <c r="L9" s="63">
        <f>IFERROR(SUMIFS('KK Penjaminan Kualitas'!$R$6:$R$676,'KK Penjaminan Kualitas'!$T$6:$T$676,$S9,'KK Penjaminan Kualitas'!$E$6:$E$676,"C")/SUMPRODUCT(('KK Penjaminan Kualitas'!$T$6:$T$676=$S9)*('KK Penjaminan Kualitas'!$E$6:$E$676="C")*ISNUMBER('KK Penjaminan Kualitas'!$R$6:$R$676)),"")</f>
        <v/>
      </c>
      <c r="M9" s="63">
        <f>IFERROR(SUMIFS('KK Penjaminan Kualitas'!$R$6:$R$676,'KK Penjaminan Kualitas'!$T$6:$T$676,$S9,'KK Penjaminan Kualitas'!$E$6:$E$676,"B")/SUMPRODUCT(('KK Penjaminan Kualitas'!$T$6:$T$676=$S9)*('KK Penjaminan Kualitas'!$E$6:$E$676="B")*ISNUMBER('KK Penjaminan Kualitas'!$R$6:$R$676)),"")</f>
        <v/>
      </c>
      <c r="N9" s="63">
        <f>IFERROR(SUMIFS('KK Penjaminan Kualitas'!$R$6:$R$676,'KK Penjaminan Kualitas'!$T$6:$T$676,$S9,'KK Penjaminan Kualitas'!$E$6:$E$676,"A")/SUMPRODUCT(('KK Penjaminan Kualitas'!$T$6:$T$676=$S9)*('KK Penjaminan Kualitas'!$E$6:$E$676="A")*ISNUMBER('KK Penjaminan Kualitas'!$R$6:$R$676)),"")</f>
        <v/>
      </c>
      <c r="O9" s="38">
        <f>IF(H9=0,"",SUMIFS('KK Penjaminan Kualitas'!$R$6:$R$676,'KK Penjaminan Kualitas'!$T$6:$T$676,$S9)/H9)</f>
        <v/>
      </c>
      <c r="P9" s="30">
        <f>IF(Q9="","",IF(Q9=0,"&lt; E",MID("EDCBA",Q9,1)))</f>
        <v/>
      </c>
      <c r="Q9" s="30">
        <f>IF(H9=0,"",IF(NOT(AND(ISNUMBER(J9),J9&gt;=Petunjuk!$C$14)),0,IF(NOT(AND(ISNUMBER(K9),K9&gt;=Petunjuk!$C$14)),1,IF(NOT(AND(ISNUMBER(L9),L9&gt;=Petunjuk!$C$14)),2,IF(NOT(AND(ISNUMBER(M9),M9&gt;=Petunjuk!$C$14)),3,IF(NOT(AND(ISNUMBER(N9),N9&gt;=Petunjuk!$C$14)),4,5))))))</f>
        <v/>
      </c>
      <c r="R9" s="37">
        <f>IF(Q9="","Belum dinilai",IF(Q9=5,"Seluruh grade terpenuhi","Lengkapi evidence Grade "&amp;MID("EDCBA",Q9+1,1)&amp;IF(I9&gt;0," ("&amp;I9&amp;" item belum dinilai)","")))</f>
        <v/>
      </c>
      <c r="S9" s="39" t="inlineStr">
        <is>
          <t>1.3-3</t>
        </is>
      </c>
    </row>
    <row r="10" ht="34.9" customHeight="1">
      <c r="A10" s="28" t="n">
        <v>6</v>
      </c>
      <c r="B10" s="28" t="inlineStr">
        <is>
          <t>1.3</t>
        </is>
      </c>
      <c r="C10" s="37" t="inlineStr">
        <is>
          <t>Kepemimpinan yang Kondusif</t>
        </is>
      </c>
      <c r="D10" s="28" t="n">
        <v>4</v>
      </c>
      <c r="E10" s="37">
        <f>IFERROR(INDEX(FILTER('KK Penjaminan Kualitas'!$D$6:$D$676,'KK Penjaminan Kualitas'!$A$6:$A$676=B10,'KK Penjaminan Kualitas'!$C$6:$C$676=D10),1),"")</f>
        <v/>
      </c>
      <c r="F10" s="28">
        <f>COUNTIFS('KK Penjaminan Kualitas'!$T$6:$T$676,$S10,'KK Penjaminan Kualitas'!$J$6:$J$676,"&lt;&gt;")</f>
        <v/>
      </c>
      <c r="G10" s="28">
        <f>COUNTIFS('KK Penjaminan Kualitas'!$T$6:$T$676,$S10,'KK Penjaminan Kualitas'!$L$6:$L$676,"N/A")</f>
        <v/>
      </c>
      <c r="H10" s="28">
        <f>SUMPRODUCT(('KK Penjaminan Kualitas'!$T$6:$T$676=$S10)*ISNUMBER('KK Penjaminan Kualitas'!$R$6:$R$676))</f>
        <v/>
      </c>
      <c r="I10" s="28">
        <f>F10-G10-H10</f>
        <v/>
      </c>
      <c r="J10" s="63">
        <f>IFERROR(SUMIFS('KK Penjaminan Kualitas'!$R$6:$R$676,'KK Penjaminan Kualitas'!$T$6:$T$676,$S10,'KK Penjaminan Kualitas'!$E$6:$E$676,"E")/SUMPRODUCT(('KK Penjaminan Kualitas'!$T$6:$T$676=$S10)*('KK Penjaminan Kualitas'!$E$6:$E$676="E")*ISNUMBER('KK Penjaminan Kualitas'!$R$6:$R$676)),"")</f>
        <v/>
      </c>
      <c r="K10" s="63">
        <f>IFERROR(SUMIFS('KK Penjaminan Kualitas'!$R$6:$R$676,'KK Penjaminan Kualitas'!$T$6:$T$676,$S10,'KK Penjaminan Kualitas'!$E$6:$E$676,"D")/SUMPRODUCT(('KK Penjaminan Kualitas'!$T$6:$T$676=$S10)*('KK Penjaminan Kualitas'!$E$6:$E$676="D")*ISNUMBER('KK Penjaminan Kualitas'!$R$6:$R$676)),"")</f>
        <v/>
      </c>
      <c r="L10" s="63">
        <f>IFERROR(SUMIFS('KK Penjaminan Kualitas'!$R$6:$R$676,'KK Penjaminan Kualitas'!$T$6:$T$676,$S10,'KK Penjaminan Kualitas'!$E$6:$E$676,"C")/SUMPRODUCT(('KK Penjaminan Kualitas'!$T$6:$T$676=$S10)*('KK Penjaminan Kualitas'!$E$6:$E$676="C")*ISNUMBER('KK Penjaminan Kualitas'!$R$6:$R$676)),"")</f>
        <v/>
      </c>
      <c r="M10" s="63">
        <f>IFERROR(SUMIFS('KK Penjaminan Kualitas'!$R$6:$R$676,'KK Penjaminan Kualitas'!$T$6:$T$676,$S10,'KK Penjaminan Kualitas'!$E$6:$E$676,"B")/SUMPRODUCT(('KK Penjaminan Kualitas'!$T$6:$T$676=$S10)*('KK Penjaminan Kualitas'!$E$6:$E$676="B")*ISNUMBER('KK Penjaminan Kualitas'!$R$6:$R$676)),"")</f>
        <v/>
      </c>
      <c r="N10" s="63">
        <f>IFERROR(SUMIFS('KK Penjaminan Kualitas'!$R$6:$R$676,'KK Penjaminan Kualitas'!$T$6:$T$676,$S10,'KK Penjaminan Kualitas'!$E$6:$E$676,"A")/SUMPRODUCT(('KK Penjaminan Kualitas'!$T$6:$T$676=$S10)*('KK Penjaminan Kualitas'!$E$6:$E$676="A")*ISNUMBER('KK Penjaminan Kualitas'!$R$6:$R$676)),"")</f>
        <v/>
      </c>
      <c r="O10" s="38">
        <f>IF(H10=0,"",SUMIFS('KK Penjaminan Kualitas'!$R$6:$R$676,'KK Penjaminan Kualitas'!$T$6:$T$676,$S10)/H10)</f>
        <v/>
      </c>
      <c r="P10" s="30">
        <f>IF(Q10="","",IF(Q10=0,"&lt; E",MID("EDCBA",Q10,1)))</f>
        <v/>
      </c>
      <c r="Q10" s="30">
        <f>IF(H10=0,"",IF(NOT(AND(ISNUMBER(J10),J10&gt;=Petunjuk!$C$14)),0,IF(NOT(AND(ISNUMBER(K10),K10&gt;=Petunjuk!$C$14)),1,IF(NOT(AND(ISNUMBER(L10),L10&gt;=Petunjuk!$C$14)),2,IF(NOT(AND(ISNUMBER(M10),M10&gt;=Petunjuk!$C$14)),3,IF(NOT(AND(ISNUMBER(N10),N10&gt;=Petunjuk!$C$14)),4,5))))))</f>
        <v/>
      </c>
      <c r="R10" s="37">
        <f>IF(Q10="","Belum dinilai",IF(Q10=5,"Seluruh grade terpenuhi","Lengkapi evidence Grade "&amp;MID("EDCBA",Q10+1,1)&amp;IF(I10&gt;0," ("&amp;I10&amp;" item belum dinilai)","")))</f>
        <v/>
      </c>
      <c r="S10" s="39" t="inlineStr">
        <is>
          <t>1.3-4</t>
        </is>
      </c>
    </row>
    <row r="11" ht="23.25" customHeight="1">
      <c r="A11" s="28" t="n">
        <v>7</v>
      </c>
      <c r="B11" s="28" t="inlineStr">
        <is>
          <t>1.4</t>
        </is>
      </c>
      <c r="C11" s="37" t="inlineStr">
        <is>
          <t>Struktur Organisasi Sesuai Kebutuhan</t>
        </is>
      </c>
      <c r="D11" s="28" t="n">
        <v>1</v>
      </c>
      <c r="E11" s="37">
        <f>IFERROR(INDEX(FILTER('KK Penjaminan Kualitas'!$D$6:$D$676,'KK Penjaminan Kualitas'!$A$6:$A$676=B11,'KK Penjaminan Kualitas'!$C$6:$C$676=D11),1),"")</f>
        <v/>
      </c>
      <c r="F11" s="28">
        <f>COUNTIFS('KK Penjaminan Kualitas'!$T$6:$T$676,$S11,'KK Penjaminan Kualitas'!$J$6:$J$676,"&lt;&gt;")</f>
        <v/>
      </c>
      <c r="G11" s="28">
        <f>COUNTIFS('KK Penjaminan Kualitas'!$T$6:$T$676,$S11,'KK Penjaminan Kualitas'!$L$6:$L$676,"N/A")</f>
        <v/>
      </c>
      <c r="H11" s="28">
        <f>SUMPRODUCT(('KK Penjaminan Kualitas'!$T$6:$T$676=$S11)*ISNUMBER('KK Penjaminan Kualitas'!$R$6:$R$676))</f>
        <v/>
      </c>
      <c r="I11" s="28">
        <f>F11-G11-H11</f>
        <v/>
      </c>
      <c r="J11" s="63">
        <f>IFERROR(SUMIFS('KK Penjaminan Kualitas'!$R$6:$R$676,'KK Penjaminan Kualitas'!$T$6:$T$676,$S11,'KK Penjaminan Kualitas'!$E$6:$E$676,"E")/SUMPRODUCT(('KK Penjaminan Kualitas'!$T$6:$T$676=$S11)*('KK Penjaminan Kualitas'!$E$6:$E$676="E")*ISNUMBER('KK Penjaminan Kualitas'!$R$6:$R$676)),"")</f>
        <v/>
      </c>
      <c r="K11" s="63">
        <f>IFERROR(SUMIFS('KK Penjaminan Kualitas'!$R$6:$R$676,'KK Penjaminan Kualitas'!$T$6:$T$676,$S11,'KK Penjaminan Kualitas'!$E$6:$E$676,"D")/SUMPRODUCT(('KK Penjaminan Kualitas'!$T$6:$T$676=$S11)*('KK Penjaminan Kualitas'!$E$6:$E$676="D")*ISNUMBER('KK Penjaminan Kualitas'!$R$6:$R$676)),"")</f>
        <v/>
      </c>
      <c r="L11" s="63">
        <f>IFERROR(SUMIFS('KK Penjaminan Kualitas'!$R$6:$R$676,'KK Penjaminan Kualitas'!$T$6:$T$676,$S11,'KK Penjaminan Kualitas'!$E$6:$E$676,"C")/SUMPRODUCT(('KK Penjaminan Kualitas'!$T$6:$T$676=$S11)*('KK Penjaminan Kualitas'!$E$6:$E$676="C")*ISNUMBER('KK Penjaminan Kualitas'!$R$6:$R$676)),"")</f>
        <v/>
      </c>
      <c r="M11" s="63">
        <f>IFERROR(SUMIFS('KK Penjaminan Kualitas'!$R$6:$R$676,'KK Penjaminan Kualitas'!$T$6:$T$676,$S11,'KK Penjaminan Kualitas'!$E$6:$E$676,"B")/SUMPRODUCT(('KK Penjaminan Kualitas'!$T$6:$T$676=$S11)*('KK Penjaminan Kualitas'!$E$6:$E$676="B")*ISNUMBER('KK Penjaminan Kualitas'!$R$6:$R$676)),"")</f>
        <v/>
      </c>
      <c r="N11" s="63">
        <f>IFERROR(SUMIFS('KK Penjaminan Kualitas'!$R$6:$R$676,'KK Penjaminan Kualitas'!$T$6:$T$676,$S11,'KK Penjaminan Kualitas'!$E$6:$E$676,"A")/SUMPRODUCT(('KK Penjaminan Kualitas'!$T$6:$T$676=$S11)*('KK Penjaminan Kualitas'!$E$6:$E$676="A")*ISNUMBER('KK Penjaminan Kualitas'!$R$6:$R$676)),"")</f>
        <v/>
      </c>
      <c r="O11" s="38">
        <f>IF(H11=0,"",SUMIFS('KK Penjaminan Kualitas'!$R$6:$R$676,'KK Penjaminan Kualitas'!$T$6:$T$676,$S11)/H11)</f>
        <v/>
      </c>
      <c r="P11" s="30">
        <f>IF(Q11="","",IF(Q11=0,"&lt; E",MID("EDCBA",Q11,1)))</f>
        <v/>
      </c>
      <c r="Q11" s="30">
        <f>IF(H11=0,"",IF(NOT(AND(ISNUMBER(J11),J11&gt;=Petunjuk!$C$14)),0,IF(NOT(AND(ISNUMBER(K11),K11&gt;=Petunjuk!$C$14)),1,IF(NOT(AND(ISNUMBER(L11),L11&gt;=Petunjuk!$C$14)),2,IF(NOT(AND(ISNUMBER(M11),M11&gt;=Petunjuk!$C$14)),3,IF(NOT(AND(ISNUMBER(N11),N11&gt;=Petunjuk!$C$14)),4,5))))))</f>
        <v/>
      </c>
      <c r="R11" s="37">
        <f>IF(Q11="","Belum dinilai",IF(Q11=5,"Seluruh grade terpenuhi","Lengkapi evidence Grade "&amp;MID("EDCBA",Q11+1,1)&amp;IF(I11&gt;0," ("&amp;I11&amp;" item belum dinilai)","")))</f>
        <v/>
      </c>
      <c r="S11" s="39" t="inlineStr">
        <is>
          <t>1.4-1</t>
        </is>
      </c>
    </row>
    <row r="12" ht="46.5" customHeight="1">
      <c r="A12" s="28" t="n">
        <v>8</v>
      </c>
      <c r="B12" s="28" t="inlineStr">
        <is>
          <t>1.5</t>
        </is>
      </c>
      <c r="C12" s="37" t="inlineStr">
        <is>
          <t>Pendelegasian Wewenang dan Tanggung Jawab yang Tepat</t>
        </is>
      </c>
      <c r="D12" s="28" t="n">
        <v>1</v>
      </c>
      <c r="E12" s="37">
        <f>IFERROR(INDEX(FILTER('KK Penjaminan Kualitas'!$D$6:$D$676,'KK Penjaminan Kualitas'!$A$6:$A$676=B12,'KK Penjaminan Kualitas'!$C$6:$C$676=D12),1),"")</f>
        <v/>
      </c>
      <c r="F12" s="28">
        <f>COUNTIFS('KK Penjaminan Kualitas'!$T$6:$T$676,$S12,'KK Penjaminan Kualitas'!$J$6:$J$676,"&lt;&gt;")</f>
        <v/>
      </c>
      <c r="G12" s="28">
        <f>COUNTIFS('KK Penjaminan Kualitas'!$T$6:$T$676,$S12,'KK Penjaminan Kualitas'!$L$6:$L$676,"N/A")</f>
        <v/>
      </c>
      <c r="H12" s="28">
        <f>SUMPRODUCT(('KK Penjaminan Kualitas'!$T$6:$T$676=$S12)*ISNUMBER('KK Penjaminan Kualitas'!$R$6:$R$676))</f>
        <v/>
      </c>
      <c r="I12" s="28">
        <f>F12-G12-H12</f>
        <v/>
      </c>
      <c r="J12" s="63">
        <f>IFERROR(SUMIFS('KK Penjaminan Kualitas'!$R$6:$R$676,'KK Penjaminan Kualitas'!$T$6:$T$676,$S12,'KK Penjaminan Kualitas'!$E$6:$E$676,"E")/SUMPRODUCT(('KK Penjaminan Kualitas'!$T$6:$T$676=$S12)*('KK Penjaminan Kualitas'!$E$6:$E$676="E")*ISNUMBER('KK Penjaminan Kualitas'!$R$6:$R$676)),"")</f>
        <v/>
      </c>
      <c r="K12" s="63">
        <f>IFERROR(SUMIFS('KK Penjaminan Kualitas'!$R$6:$R$676,'KK Penjaminan Kualitas'!$T$6:$T$676,$S12,'KK Penjaminan Kualitas'!$E$6:$E$676,"D")/SUMPRODUCT(('KK Penjaminan Kualitas'!$T$6:$T$676=$S12)*('KK Penjaminan Kualitas'!$E$6:$E$676="D")*ISNUMBER('KK Penjaminan Kualitas'!$R$6:$R$676)),"")</f>
        <v/>
      </c>
      <c r="L12" s="63">
        <f>IFERROR(SUMIFS('KK Penjaminan Kualitas'!$R$6:$R$676,'KK Penjaminan Kualitas'!$T$6:$T$676,$S12,'KK Penjaminan Kualitas'!$E$6:$E$676,"C")/SUMPRODUCT(('KK Penjaminan Kualitas'!$T$6:$T$676=$S12)*('KK Penjaminan Kualitas'!$E$6:$E$676="C")*ISNUMBER('KK Penjaminan Kualitas'!$R$6:$R$676)),"")</f>
        <v/>
      </c>
      <c r="M12" s="63">
        <f>IFERROR(SUMIFS('KK Penjaminan Kualitas'!$R$6:$R$676,'KK Penjaminan Kualitas'!$T$6:$T$676,$S12,'KK Penjaminan Kualitas'!$E$6:$E$676,"B")/SUMPRODUCT(('KK Penjaminan Kualitas'!$T$6:$T$676=$S12)*('KK Penjaminan Kualitas'!$E$6:$E$676="B")*ISNUMBER('KK Penjaminan Kualitas'!$R$6:$R$676)),"")</f>
        <v/>
      </c>
      <c r="N12" s="63">
        <f>IFERROR(SUMIFS('KK Penjaminan Kualitas'!$R$6:$R$676,'KK Penjaminan Kualitas'!$T$6:$T$676,$S12,'KK Penjaminan Kualitas'!$E$6:$E$676,"A")/SUMPRODUCT(('KK Penjaminan Kualitas'!$T$6:$T$676=$S12)*('KK Penjaminan Kualitas'!$E$6:$E$676="A")*ISNUMBER('KK Penjaminan Kualitas'!$R$6:$R$676)),"")</f>
        <v/>
      </c>
      <c r="O12" s="38">
        <f>IF(H12=0,"",SUMIFS('KK Penjaminan Kualitas'!$R$6:$R$676,'KK Penjaminan Kualitas'!$T$6:$T$676,$S12)/H12)</f>
        <v/>
      </c>
      <c r="P12" s="30">
        <f>IF(Q12="","",IF(Q12=0,"&lt; E",MID("EDCBA",Q12,1)))</f>
        <v/>
      </c>
      <c r="Q12" s="30">
        <f>IF(H12=0,"",IF(NOT(AND(ISNUMBER(J12),J12&gt;=Petunjuk!$C$14)),0,IF(NOT(AND(ISNUMBER(K12),K12&gt;=Petunjuk!$C$14)),1,IF(NOT(AND(ISNUMBER(L12),L12&gt;=Petunjuk!$C$14)),2,IF(NOT(AND(ISNUMBER(M12),M12&gt;=Petunjuk!$C$14)),3,IF(NOT(AND(ISNUMBER(N12),N12&gt;=Petunjuk!$C$14)),4,5))))))</f>
        <v/>
      </c>
      <c r="R12" s="37">
        <f>IF(Q12="","Belum dinilai",IF(Q12=5,"Seluruh grade terpenuhi","Lengkapi evidence Grade "&amp;MID("EDCBA",Q12+1,1)&amp;IF(I12&gt;0," ("&amp;I12&amp;" item belum dinilai)","")))</f>
        <v/>
      </c>
      <c r="S12" s="39" t="inlineStr">
        <is>
          <t>1.5-1</t>
        </is>
      </c>
    </row>
    <row r="13" ht="34.9" customHeight="1">
      <c r="A13" s="28" t="n">
        <v>9</v>
      </c>
      <c r="B13" s="28" t="inlineStr">
        <is>
          <t>1.6</t>
        </is>
      </c>
      <c r="C13" s="37" t="inlineStr">
        <is>
          <t>Penyusunan dan Penerapan Kebijakan yang Sehat tentang Pembinaan SDM</t>
        </is>
      </c>
      <c r="D13" s="28" t="n">
        <v>1</v>
      </c>
      <c r="E13" s="37">
        <f>IFERROR(INDEX(FILTER('KK Penjaminan Kualitas'!$D$6:$D$676,'KK Penjaminan Kualitas'!$A$6:$A$676=B13,'KK Penjaminan Kualitas'!$C$6:$C$676=D13),1),"")</f>
        <v/>
      </c>
      <c r="F13" s="28">
        <f>COUNTIFS('KK Penjaminan Kualitas'!$T$6:$T$676,$S13,'KK Penjaminan Kualitas'!$J$6:$J$676,"&lt;&gt;")</f>
        <v/>
      </c>
      <c r="G13" s="28">
        <f>COUNTIFS('KK Penjaminan Kualitas'!$T$6:$T$676,$S13,'KK Penjaminan Kualitas'!$L$6:$L$676,"N/A")</f>
        <v/>
      </c>
      <c r="H13" s="28">
        <f>SUMPRODUCT(('KK Penjaminan Kualitas'!$T$6:$T$676=$S13)*ISNUMBER('KK Penjaminan Kualitas'!$R$6:$R$676))</f>
        <v/>
      </c>
      <c r="I13" s="28">
        <f>F13-G13-H13</f>
        <v/>
      </c>
      <c r="J13" s="63">
        <f>IFERROR(SUMIFS('KK Penjaminan Kualitas'!$R$6:$R$676,'KK Penjaminan Kualitas'!$T$6:$T$676,$S13,'KK Penjaminan Kualitas'!$E$6:$E$676,"E")/SUMPRODUCT(('KK Penjaminan Kualitas'!$T$6:$T$676=$S13)*('KK Penjaminan Kualitas'!$E$6:$E$676="E")*ISNUMBER('KK Penjaminan Kualitas'!$R$6:$R$676)),"")</f>
        <v/>
      </c>
      <c r="K13" s="63">
        <f>IFERROR(SUMIFS('KK Penjaminan Kualitas'!$R$6:$R$676,'KK Penjaminan Kualitas'!$T$6:$T$676,$S13,'KK Penjaminan Kualitas'!$E$6:$E$676,"D")/SUMPRODUCT(('KK Penjaminan Kualitas'!$T$6:$T$676=$S13)*('KK Penjaminan Kualitas'!$E$6:$E$676="D")*ISNUMBER('KK Penjaminan Kualitas'!$R$6:$R$676)),"")</f>
        <v/>
      </c>
      <c r="L13" s="63">
        <f>IFERROR(SUMIFS('KK Penjaminan Kualitas'!$R$6:$R$676,'KK Penjaminan Kualitas'!$T$6:$T$676,$S13,'KK Penjaminan Kualitas'!$E$6:$E$676,"C")/SUMPRODUCT(('KK Penjaminan Kualitas'!$T$6:$T$676=$S13)*('KK Penjaminan Kualitas'!$E$6:$E$676="C")*ISNUMBER('KK Penjaminan Kualitas'!$R$6:$R$676)),"")</f>
        <v/>
      </c>
      <c r="M13" s="63">
        <f>IFERROR(SUMIFS('KK Penjaminan Kualitas'!$R$6:$R$676,'KK Penjaminan Kualitas'!$T$6:$T$676,$S13,'KK Penjaminan Kualitas'!$E$6:$E$676,"B")/SUMPRODUCT(('KK Penjaminan Kualitas'!$T$6:$T$676=$S13)*('KK Penjaminan Kualitas'!$E$6:$E$676="B")*ISNUMBER('KK Penjaminan Kualitas'!$R$6:$R$676)),"")</f>
        <v/>
      </c>
      <c r="N13" s="63">
        <f>IFERROR(SUMIFS('KK Penjaminan Kualitas'!$R$6:$R$676,'KK Penjaminan Kualitas'!$T$6:$T$676,$S13,'KK Penjaminan Kualitas'!$E$6:$E$676,"A")/SUMPRODUCT(('KK Penjaminan Kualitas'!$T$6:$T$676=$S13)*('KK Penjaminan Kualitas'!$E$6:$E$676="A")*ISNUMBER('KK Penjaminan Kualitas'!$R$6:$R$676)),"")</f>
        <v/>
      </c>
      <c r="O13" s="38">
        <f>IF(H13=0,"",SUMIFS('KK Penjaminan Kualitas'!$R$6:$R$676,'KK Penjaminan Kualitas'!$T$6:$T$676,$S13)/H13)</f>
        <v/>
      </c>
      <c r="P13" s="30">
        <f>IF(Q13="","",IF(Q13=0,"&lt; E",MID("EDCBA",Q13,1)))</f>
        <v/>
      </c>
      <c r="Q13" s="30">
        <f>IF(H13=0,"",IF(NOT(AND(ISNUMBER(J13),J13&gt;=Petunjuk!$C$14)),0,IF(NOT(AND(ISNUMBER(K13),K13&gt;=Petunjuk!$C$14)),1,IF(NOT(AND(ISNUMBER(L13),L13&gt;=Petunjuk!$C$14)),2,IF(NOT(AND(ISNUMBER(M13),M13&gt;=Petunjuk!$C$14)),3,IF(NOT(AND(ISNUMBER(N13),N13&gt;=Petunjuk!$C$14)),4,5))))))</f>
        <v/>
      </c>
      <c r="R13" s="37">
        <f>IF(Q13="","Belum dinilai",IF(Q13=5,"Seluruh grade terpenuhi","Lengkapi evidence Grade "&amp;MID("EDCBA",Q13+1,1)&amp;IF(I13&gt;0," ("&amp;I13&amp;" item belum dinilai)","")))</f>
        <v/>
      </c>
      <c r="S13" s="39" t="inlineStr">
        <is>
          <t>1.6-1</t>
        </is>
      </c>
    </row>
    <row r="14" ht="34.9" customHeight="1">
      <c r="A14" s="28" t="n">
        <v>10</v>
      </c>
      <c r="B14" s="28" t="inlineStr">
        <is>
          <t>1.6</t>
        </is>
      </c>
      <c r="C14" s="37" t="inlineStr">
        <is>
          <t>Penyusunan dan Penerapan Kebijakan yang Sehat tentang Pembinaan SDM</t>
        </is>
      </c>
      <c r="D14" s="28" t="n">
        <v>2</v>
      </c>
      <c r="E14" s="37">
        <f>IFERROR(INDEX(FILTER('KK Penjaminan Kualitas'!$D$6:$D$676,'KK Penjaminan Kualitas'!$A$6:$A$676=B14,'KK Penjaminan Kualitas'!$C$6:$C$676=D14),1),"")</f>
        <v/>
      </c>
      <c r="F14" s="28">
        <f>COUNTIFS('KK Penjaminan Kualitas'!$T$6:$T$676,$S14,'KK Penjaminan Kualitas'!$J$6:$J$676,"&lt;&gt;")</f>
        <v/>
      </c>
      <c r="G14" s="28">
        <f>COUNTIFS('KK Penjaminan Kualitas'!$T$6:$T$676,$S14,'KK Penjaminan Kualitas'!$L$6:$L$676,"N/A")</f>
        <v/>
      </c>
      <c r="H14" s="28">
        <f>SUMPRODUCT(('KK Penjaminan Kualitas'!$T$6:$T$676=$S14)*ISNUMBER('KK Penjaminan Kualitas'!$R$6:$R$676))</f>
        <v/>
      </c>
      <c r="I14" s="28">
        <f>F14-G14-H14</f>
        <v/>
      </c>
      <c r="J14" s="63">
        <f>IFERROR(SUMIFS('KK Penjaminan Kualitas'!$R$6:$R$676,'KK Penjaminan Kualitas'!$T$6:$T$676,$S14,'KK Penjaminan Kualitas'!$E$6:$E$676,"E")/SUMPRODUCT(('KK Penjaminan Kualitas'!$T$6:$T$676=$S14)*('KK Penjaminan Kualitas'!$E$6:$E$676="E")*ISNUMBER('KK Penjaminan Kualitas'!$R$6:$R$676)),"")</f>
        <v/>
      </c>
      <c r="K14" s="63">
        <f>IFERROR(SUMIFS('KK Penjaminan Kualitas'!$R$6:$R$676,'KK Penjaminan Kualitas'!$T$6:$T$676,$S14,'KK Penjaminan Kualitas'!$E$6:$E$676,"D")/SUMPRODUCT(('KK Penjaminan Kualitas'!$T$6:$T$676=$S14)*('KK Penjaminan Kualitas'!$E$6:$E$676="D")*ISNUMBER('KK Penjaminan Kualitas'!$R$6:$R$676)),"")</f>
        <v/>
      </c>
      <c r="L14" s="63">
        <f>IFERROR(SUMIFS('KK Penjaminan Kualitas'!$R$6:$R$676,'KK Penjaminan Kualitas'!$T$6:$T$676,$S14,'KK Penjaminan Kualitas'!$E$6:$E$676,"C")/SUMPRODUCT(('KK Penjaminan Kualitas'!$T$6:$T$676=$S14)*('KK Penjaminan Kualitas'!$E$6:$E$676="C")*ISNUMBER('KK Penjaminan Kualitas'!$R$6:$R$676)),"")</f>
        <v/>
      </c>
      <c r="M14" s="63">
        <f>IFERROR(SUMIFS('KK Penjaminan Kualitas'!$R$6:$R$676,'KK Penjaminan Kualitas'!$T$6:$T$676,$S14,'KK Penjaminan Kualitas'!$E$6:$E$676,"B")/SUMPRODUCT(('KK Penjaminan Kualitas'!$T$6:$T$676=$S14)*('KK Penjaminan Kualitas'!$E$6:$E$676="B")*ISNUMBER('KK Penjaminan Kualitas'!$R$6:$R$676)),"")</f>
        <v/>
      </c>
      <c r="N14" s="63">
        <f>IFERROR(SUMIFS('KK Penjaminan Kualitas'!$R$6:$R$676,'KK Penjaminan Kualitas'!$T$6:$T$676,$S14,'KK Penjaminan Kualitas'!$E$6:$E$676,"A")/SUMPRODUCT(('KK Penjaminan Kualitas'!$T$6:$T$676=$S14)*('KK Penjaminan Kualitas'!$E$6:$E$676="A")*ISNUMBER('KK Penjaminan Kualitas'!$R$6:$R$676)),"")</f>
        <v/>
      </c>
      <c r="O14" s="38">
        <f>IF(H14=0,"",SUMIFS('KK Penjaminan Kualitas'!$R$6:$R$676,'KK Penjaminan Kualitas'!$T$6:$T$676,$S14)/H14)</f>
        <v/>
      </c>
      <c r="P14" s="30">
        <f>IF(Q14="","",IF(Q14=0,"&lt; E",MID("EDCBA",Q14,1)))</f>
        <v/>
      </c>
      <c r="Q14" s="30">
        <f>IF(H14=0,"",IF(NOT(AND(ISNUMBER(J14),J14&gt;=Petunjuk!$C$14)),0,IF(NOT(AND(ISNUMBER(K14),K14&gt;=Petunjuk!$C$14)),1,IF(NOT(AND(ISNUMBER(L14),L14&gt;=Petunjuk!$C$14)),2,IF(NOT(AND(ISNUMBER(M14),M14&gt;=Petunjuk!$C$14)),3,IF(NOT(AND(ISNUMBER(N14),N14&gt;=Petunjuk!$C$14)),4,5))))))</f>
        <v/>
      </c>
      <c r="R14" s="37">
        <f>IF(Q14="","Belum dinilai",IF(Q14=5,"Seluruh grade terpenuhi","Lengkapi evidence Grade "&amp;MID("EDCBA",Q14+1,1)&amp;IF(I14&gt;0," ("&amp;I14&amp;" item belum dinilai)","")))</f>
        <v/>
      </c>
      <c r="S14" s="39" t="inlineStr">
        <is>
          <t>1.6-2</t>
        </is>
      </c>
    </row>
    <row r="15" ht="34.9" customHeight="1">
      <c r="A15" s="28" t="n">
        <v>11</v>
      </c>
      <c r="B15" s="28" t="inlineStr">
        <is>
          <t>1.6</t>
        </is>
      </c>
      <c r="C15" s="37" t="inlineStr">
        <is>
          <t>Penyusunan dan Penerapan Kebijakan yang Sehat tentang Pembinaan SDM</t>
        </is>
      </c>
      <c r="D15" s="28" t="n">
        <v>3</v>
      </c>
      <c r="E15" s="37">
        <f>IFERROR(INDEX(FILTER('KK Penjaminan Kualitas'!$D$6:$D$676,'KK Penjaminan Kualitas'!$A$6:$A$676=B15,'KK Penjaminan Kualitas'!$C$6:$C$676=D15),1),"")</f>
        <v/>
      </c>
      <c r="F15" s="28">
        <f>COUNTIFS('KK Penjaminan Kualitas'!$T$6:$T$676,$S15,'KK Penjaminan Kualitas'!$J$6:$J$676,"&lt;&gt;")</f>
        <v/>
      </c>
      <c r="G15" s="28">
        <f>COUNTIFS('KK Penjaminan Kualitas'!$T$6:$T$676,$S15,'KK Penjaminan Kualitas'!$L$6:$L$676,"N/A")</f>
        <v/>
      </c>
      <c r="H15" s="28">
        <f>SUMPRODUCT(('KK Penjaminan Kualitas'!$T$6:$T$676=$S15)*ISNUMBER('KK Penjaminan Kualitas'!$R$6:$R$676))</f>
        <v/>
      </c>
      <c r="I15" s="28">
        <f>F15-G15-H15</f>
        <v/>
      </c>
      <c r="J15" s="63">
        <f>IFERROR(SUMIFS('KK Penjaminan Kualitas'!$R$6:$R$676,'KK Penjaminan Kualitas'!$T$6:$T$676,$S15,'KK Penjaminan Kualitas'!$E$6:$E$676,"E")/SUMPRODUCT(('KK Penjaminan Kualitas'!$T$6:$T$676=$S15)*('KK Penjaminan Kualitas'!$E$6:$E$676="E")*ISNUMBER('KK Penjaminan Kualitas'!$R$6:$R$676)),"")</f>
        <v/>
      </c>
      <c r="K15" s="63">
        <f>IFERROR(SUMIFS('KK Penjaminan Kualitas'!$R$6:$R$676,'KK Penjaminan Kualitas'!$T$6:$T$676,$S15,'KK Penjaminan Kualitas'!$E$6:$E$676,"D")/SUMPRODUCT(('KK Penjaminan Kualitas'!$T$6:$T$676=$S15)*('KK Penjaminan Kualitas'!$E$6:$E$676="D")*ISNUMBER('KK Penjaminan Kualitas'!$R$6:$R$676)),"")</f>
        <v/>
      </c>
      <c r="L15" s="63">
        <f>IFERROR(SUMIFS('KK Penjaminan Kualitas'!$R$6:$R$676,'KK Penjaminan Kualitas'!$T$6:$T$676,$S15,'KK Penjaminan Kualitas'!$E$6:$E$676,"C")/SUMPRODUCT(('KK Penjaminan Kualitas'!$T$6:$T$676=$S15)*('KK Penjaminan Kualitas'!$E$6:$E$676="C")*ISNUMBER('KK Penjaminan Kualitas'!$R$6:$R$676)),"")</f>
        <v/>
      </c>
      <c r="M15" s="63">
        <f>IFERROR(SUMIFS('KK Penjaminan Kualitas'!$R$6:$R$676,'KK Penjaminan Kualitas'!$T$6:$T$676,$S15,'KK Penjaminan Kualitas'!$E$6:$E$676,"B")/SUMPRODUCT(('KK Penjaminan Kualitas'!$T$6:$T$676=$S15)*('KK Penjaminan Kualitas'!$E$6:$E$676="B")*ISNUMBER('KK Penjaminan Kualitas'!$R$6:$R$676)),"")</f>
        <v/>
      </c>
      <c r="N15" s="63">
        <f>IFERROR(SUMIFS('KK Penjaminan Kualitas'!$R$6:$R$676,'KK Penjaminan Kualitas'!$T$6:$T$676,$S15,'KK Penjaminan Kualitas'!$E$6:$E$676,"A")/SUMPRODUCT(('KK Penjaminan Kualitas'!$T$6:$T$676=$S15)*('KK Penjaminan Kualitas'!$E$6:$E$676="A")*ISNUMBER('KK Penjaminan Kualitas'!$R$6:$R$676)),"")</f>
        <v/>
      </c>
      <c r="O15" s="38">
        <f>IF(H15=0,"",SUMIFS('KK Penjaminan Kualitas'!$R$6:$R$676,'KK Penjaminan Kualitas'!$T$6:$T$676,$S15)/H15)</f>
        <v/>
      </c>
      <c r="P15" s="30">
        <f>IF(Q15="","",IF(Q15=0,"&lt; E",MID("EDCBA",Q15,1)))</f>
        <v/>
      </c>
      <c r="Q15" s="30">
        <f>IF(H15=0,"",IF(NOT(AND(ISNUMBER(J15),J15&gt;=Petunjuk!$C$14)),0,IF(NOT(AND(ISNUMBER(K15),K15&gt;=Petunjuk!$C$14)),1,IF(NOT(AND(ISNUMBER(L15),L15&gt;=Petunjuk!$C$14)),2,IF(NOT(AND(ISNUMBER(M15),M15&gt;=Petunjuk!$C$14)),3,IF(NOT(AND(ISNUMBER(N15),N15&gt;=Petunjuk!$C$14)),4,5))))))</f>
        <v/>
      </c>
      <c r="R15" s="37">
        <f>IF(Q15="","Belum dinilai",IF(Q15=5,"Seluruh grade terpenuhi","Lengkapi evidence Grade "&amp;MID("EDCBA",Q15+1,1)&amp;IF(I15&gt;0," ("&amp;I15&amp;" item belum dinilai)","")))</f>
        <v/>
      </c>
      <c r="S15" s="39" t="inlineStr">
        <is>
          <t>1.6-3</t>
        </is>
      </c>
    </row>
    <row r="16" ht="23.25" customHeight="1">
      <c r="A16" s="28" t="n">
        <v>12</v>
      </c>
      <c r="B16" s="28" t="inlineStr">
        <is>
          <t>1.7</t>
        </is>
      </c>
      <c r="C16" s="37" t="inlineStr">
        <is>
          <t>Perwujudan Peran APIP yang Efektf</t>
        </is>
      </c>
      <c r="D16" s="28" t="n">
        <v>1</v>
      </c>
      <c r="E16" s="37">
        <f>IFERROR(INDEX(FILTER('KK Penjaminan Kualitas'!$D$6:$D$676,'KK Penjaminan Kualitas'!$A$6:$A$676=B16,'KK Penjaminan Kualitas'!$C$6:$C$676=D16),1),"")</f>
        <v/>
      </c>
      <c r="F16" s="28">
        <f>COUNTIFS('KK Penjaminan Kualitas'!$T$6:$T$676,$S16,'KK Penjaminan Kualitas'!$J$6:$J$676,"&lt;&gt;")</f>
        <v/>
      </c>
      <c r="G16" s="28">
        <f>COUNTIFS('KK Penjaminan Kualitas'!$T$6:$T$676,$S16,'KK Penjaminan Kualitas'!$L$6:$L$676,"N/A")</f>
        <v/>
      </c>
      <c r="H16" s="28">
        <f>SUMPRODUCT(('KK Penjaminan Kualitas'!$T$6:$T$676=$S16)*ISNUMBER('KK Penjaminan Kualitas'!$R$6:$R$676))</f>
        <v/>
      </c>
      <c r="I16" s="28">
        <f>F16-G16-H16</f>
        <v/>
      </c>
      <c r="J16" s="63">
        <f>IFERROR(SUMIFS('KK Penjaminan Kualitas'!$R$6:$R$676,'KK Penjaminan Kualitas'!$T$6:$T$676,$S16,'KK Penjaminan Kualitas'!$E$6:$E$676,"E")/SUMPRODUCT(('KK Penjaminan Kualitas'!$T$6:$T$676=$S16)*('KK Penjaminan Kualitas'!$E$6:$E$676="E")*ISNUMBER('KK Penjaminan Kualitas'!$R$6:$R$676)),"")</f>
        <v/>
      </c>
      <c r="K16" s="63">
        <f>IFERROR(SUMIFS('KK Penjaminan Kualitas'!$R$6:$R$676,'KK Penjaminan Kualitas'!$T$6:$T$676,$S16,'KK Penjaminan Kualitas'!$E$6:$E$676,"D")/SUMPRODUCT(('KK Penjaminan Kualitas'!$T$6:$T$676=$S16)*('KK Penjaminan Kualitas'!$E$6:$E$676="D")*ISNUMBER('KK Penjaminan Kualitas'!$R$6:$R$676)),"")</f>
        <v/>
      </c>
      <c r="L16" s="63">
        <f>IFERROR(SUMIFS('KK Penjaminan Kualitas'!$R$6:$R$676,'KK Penjaminan Kualitas'!$T$6:$T$676,$S16,'KK Penjaminan Kualitas'!$E$6:$E$676,"C")/SUMPRODUCT(('KK Penjaminan Kualitas'!$T$6:$T$676=$S16)*('KK Penjaminan Kualitas'!$E$6:$E$676="C")*ISNUMBER('KK Penjaminan Kualitas'!$R$6:$R$676)),"")</f>
        <v/>
      </c>
      <c r="M16" s="63">
        <f>IFERROR(SUMIFS('KK Penjaminan Kualitas'!$R$6:$R$676,'KK Penjaminan Kualitas'!$T$6:$T$676,$S16,'KK Penjaminan Kualitas'!$E$6:$E$676,"B")/SUMPRODUCT(('KK Penjaminan Kualitas'!$T$6:$T$676=$S16)*('KK Penjaminan Kualitas'!$E$6:$E$676="B")*ISNUMBER('KK Penjaminan Kualitas'!$R$6:$R$676)),"")</f>
        <v/>
      </c>
      <c r="N16" s="63">
        <f>IFERROR(SUMIFS('KK Penjaminan Kualitas'!$R$6:$R$676,'KK Penjaminan Kualitas'!$T$6:$T$676,$S16,'KK Penjaminan Kualitas'!$E$6:$E$676,"A")/SUMPRODUCT(('KK Penjaminan Kualitas'!$T$6:$T$676=$S16)*('KK Penjaminan Kualitas'!$E$6:$E$676="A")*ISNUMBER('KK Penjaminan Kualitas'!$R$6:$R$676)),"")</f>
        <v/>
      </c>
      <c r="O16" s="38">
        <f>IF(H16=0,"",SUMIFS('KK Penjaminan Kualitas'!$R$6:$R$676,'KK Penjaminan Kualitas'!$T$6:$T$676,$S16)/H16)</f>
        <v/>
      </c>
      <c r="P16" s="30">
        <f>IF(Q16="","",IF(Q16=0,"&lt; E",MID("EDCBA",Q16,1)))</f>
        <v/>
      </c>
      <c r="Q16" s="30">
        <f>IF(H16=0,"",IF(NOT(AND(ISNUMBER(J16),J16&gt;=Petunjuk!$C$14)),0,IF(NOT(AND(ISNUMBER(K16),K16&gt;=Petunjuk!$C$14)),1,IF(NOT(AND(ISNUMBER(L16),L16&gt;=Petunjuk!$C$14)),2,IF(NOT(AND(ISNUMBER(M16),M16&gt;=Petunjuk!$C$14)),3,IF(NOT(AND(ISNUMBER(N16),N16&gt;=Petunjuk!$C$14)),4,5))))))</f>
        <v/>
      </c>
      <c r="R16" s="37">
        <f>IF(Q16="","Belum dinilai",IF(Q16=5,"Seluruh grade terpenuhi","Lengkapi evidence Grade "&amp;MID("EDCBA",Q16+1,1)&amp;IF(I16&gt;0," ("&amp;I16&amp;" item belum dinilai)","")))</f>
        <v/>
      </c>
      <c r="S16" s="39" t="inlineStr">
        <is>
          <t>1.7-1</t>
        </is>
      </c>
    </row>
    <row r="17" ht="34.9" customHeight="1">
      <c r="A17" s="28" t="n">
        <v>13</v>
      </c>
      <c r="B17" s="28" t="inlineStr">
        <is>
          <t>1.8</t>
        </is>
      </c>
      <c r="C17" s="37" t="inlineStr">
        <is>
          <t>Hubungan Kerja yang Baik dengan Instansi Pemerintah Terkait</t>
        </is>
      </c>
      <c r="D17" s="28" t="n">
        <v>1</v>
      </c>
      <c r="E17" s="37">
        <f>IFERROR(INDEX(FILTER('KK Penjaminan Kualitas'!$D$6:$D$676,'KK Penjaminan Kualitas'!$A$6:$A$676=B17,'KK Penjaminan Kualitas'!$C$6:$C$676=D17),1),"")</f>
        <v/>
      </c>
      <c r="F17" s="28">
        <f>COUNTIFS('KK Penjaminan Kualitas'!$T$6:$T$676,$S17,'KK Penjaminan Kualitas'!$J$6:$J$676,"&lt;&gt;")</f>
        <v/>
      </c>
      <c r="G17" s="28">
        <f>COUNTIFS('KK Penjaminan Kualitas'!$T$6:$T$676,$S17,'KK Penjaminan Kualitas'!$L$6:$L$676,"N/A")</f>
        <v/>
      </c>
      <c r="H17" s="28">
        <f>SUMPRODUCT(('KK Penjaminan Kualitas'!$T$6:$T$676=$S17)*ISNUMBER('KK Penjaminan Kualitas'!$R$6:$R$676))</f>
        <v/>
      </c>
      <c r="I17" s="28">
        <f>F17-G17-H17</f>
        <v/>
      </c>
      <c r="J17" s="63">
        <f>IFERROR(SUMIFS('KK Penjaminan Kualitas'!$R$6:$R$676,'KK Penjaminan Kualitas'!$T$6:$T$676,$S17,'KK Penjaminan Kualitas'!$E$6:$E$676,"E")/SUMPRODUCT(('KK Penjaminan Kualitas'!$T$6:$T$676=$S17)*('KK Penjaminan Kualitas'!$E$6:$E$676="E")*ISNUMBER('KK Penjaminan Kualitas'!$R$6:$R$676)),"")</f>
        <v/>
      </c>
      <c r="K17" s="63">
        <f>IFERROR(SUMIFS('KK Penjaminan Kualitas'!$R$6:$R$676,'KK Penjaminan Kualitas'!$T$6:$T$676,$S17,'KK Penjaminan Kualitas'!$E$6:$E$676,"D")/SUMPRODUCT(('KK Penjaminan Kualitas'!$T$6:$T$676=$S17)*('KK Penjaminan Kualitas'!$E$6:$E$676="D")*ISNUMBER('KK Penjaminan Kualitas'!$R$6:$R$676)),"")</f>
        <v/>
      </c>
      <c r="L17" s="63">
        <f>IFERROR(SUMIFS('KK Penjaminan Kualitas'!$R$6:$R$676,'KK Penjaminan Kualitas'!$T$6:$T$676,$S17,'KK Penjaminan Kualitas'!$E$6:$E$676,"C")/SUMPRODUCT(('KK Penjaminan Kualitas'!$T$6:$T$676=$S17)*('KK Penjaminan Kualitas'!$E$6:$E$676="C")*ISNUMBER('KK Penjaminan Kualitas'!$R$6:$R$676)),"")</f>
        <v/>
      </c>
      <c r="M17" s="63">
        <f>IFERROR(SUMIFS('KK Penjaminan Kualitas'!$R$6:$R$676,'KK Penjaminan Kualitas'!$T$6:$T$676,$S17,'KK Penjaminan Kualitas'!$E$6:$E$676,"B")/SUMPRODUCT(('KK Penjaminan Kualitas'!$T$6:$T$676=$S17)*('KK Penjaminan Kualitas'!$E$6:$E$676="B")*ISNUMBER('KK Penjaminan Kualitas'!$R$6:$R$676)),"")</f>
        <v/>
      </c>
      <c r="N17" s="63">
        <f>IFERROR(SUMIFS('KK Penjaminan Kualitas'!$R$6:$R$676,'KK Penjaminan Kualitas'!$T$6:$T$676,$S17,'KK Penjaminan Kualitas'!$E$6:$E$676,"A")/SUMPRODUCT(('KK Penjaminan Kualitas'!$T$6:$T$676=$S17)*('KK Penjaminan Kualitas'!$E$6:$E$676="A")*ISNUMBER('KK Penjaminan Kualitas'!$R$6:$R$676)),"")</f>
        <v/>
      </c>
      <c r="O17" s="38">
        <f>IF(H17=0,"",SUMIFS('KK Penjaminan Kualitas'!$R$6:$R$676,'KK Penjaminan Kualitas'!$T$6:$T$676,$S17)/H17)</f>
        <v/>
      </c>
      <c r="P17" s="30">
        <f>IF(Q17="","",IF(Q17=0,"&lt; E",MID("EDCBA",Q17,1)))</f>
        <v/>
      </c>
      <c r="Q17" s="30">
        <f>IF(H17=0,"",IF(NOT(AND(ISNUMBER(J17),J17&gt;=Petunjuk!$C$14)),0,IF(NOT(AND(ISNUMBER(K17),K17&gt;=Petunjuk!$C$14)),1,IF(NOT(AND(ISNUMBER(L17),L17&gt;=Petunjuk!$C$14)),2,IF(NOT(AND(ISNUMBER(M17),M17&gt;=Petunjuk!$C$14)),3,IF(NOT(AND(ISNUMBER(N17),N17&gt;=Petunjuk!$C$14)),4,5))))))</f>
        <v/>
      </c>
      <c r="R17" s="37">
        <f>IF(Q17="","Belum dinilai",IF(Q17=5,"Seluruh grade terpenuhi","Lengkapi evidence Grade "&amp;MID("EDCBA",Q17+1,1)&amp;IF(I17&gt;0," ("&amp;I17&amp;" item belum dinilai)","")))</f>
        <v/>
      </c>
      <c r="S17" s="39" t="inlineStr">
        <is>
          <t>1.8-1</t>
        </is>
      </c>
    </row>
    <row r="18" ht="34.9" customHeight="1">
      <c r="A18" s="28" t="n">
        <v>14</v>
      </c>
      <c r="B18" s="28" t="inlineStr">
        <is>
          <t>1.8</t>
        </is>
      </c>
      <c r="C18" s="37" t="inlineStr">
        <is>
          <t>Hubungan Kerja yang Baik dengan Instansi Pemerintah Terkait</t>
        </is>
      </c>
      <c r="D18" s="28" t="n">
        <v>2</v>
      </c>
      <c r="E18" s="37">
        <f>IFERROR(INDEX(FILTER('KK Penjaminan Kualitas'!$D$6:$D$676,'KK Penjaminan Kualitas'!$A$6:$A$676=B18,'KK Penjaminan Kualitas'!$C$6:$C$676=D18),1),"")</f>
        <v/>
      </c>
      <c r="F18" s="28">
        <f>COUNTIFS('KK Penjaminan Kualitas'!$T$6:$T$676,$S18,'KK Penjaminan Kualitas'!$J$6:$J$676,"&lt;&gt;")</f>
        <v/>
      </c>
      <c r="G18" s="28">
        <f>COUNTIFS('KK Penjaminan Kualitas'!$T$6:$T$676,$S18,'KK Penjaminan Kualitas'!$L$6:$L$676,"N/A")</f>
        <v/>
      </c>
      <c r="H18" s="28">
        <f>SUMPRODUCT(('KK Penjaminan Kualitas'!$T$6:$T$676=$S18)*ISNUMBER('KK Penjaminan Kualitas'!$R$6:$R$676))</f>
        <v/>
      </c>
      <c r="I18" s="28">
        <f>F18-G18-H18</f>
        <v/>
      </c>
      <c r="J18" s="63">
        <f>IFERROR(SUMIFS('KK Penjaminan Kualitas'!$R$6:$R$676,'KK Penjaminan Kualitas'!$T$6:$T$676,$S18,'KK Penjaminan Kualitas'!$E$6:$E$676,"E")/SUMPRODUCT(('KK Penjaminan Kualitas'!$T$6:$T$676=$S18)*('KK Penjaminan Kualitas'!$E$6:$E$676="E")*ISNUMBER('KK Penjaminan Kualitas'!$R$6:$R$676)),"")</f>
        <v/>
      </c>
      <c r="K18" s="63">
        <f>IFERROR(SUMIFS('KK Penjaminan Kualitas'!$R$6:$R$676,'KK Penjaminan Kualitas'!$T$6:$T$676,$S18,'KK Penjaminan Kualitas'!$E$6:$E$676,"D")/SUMPRODUCT(('KK Penjaminan Kualitas'!$T$6:$T$676=$S18)*('KK Penjaminan Kualitas'!$E$6:$E$676="D")*ISNUMBER('KK Penjaminan Kualitas'!$R$6:$R$676)),"")</f>
        <v/>
      </c>
      <c r="L18" s="63">
        <f>IFERROR(SUMIFS('KK Penjaminan Kualitas'!$R$6:$R$676,'KK Penjaminan Kualitas'!$T$6:$T$676,$S18,'KK Penjaminan Kualitas'!$E$6:$E$676,"C")/SUMPRODUCT(('KK Penjaminan Kualitas'!$T$6:$T$676=$S18)*('KK Penjaminan Kualitas'!$E$6:$E$676="C")*ISNUMBER('KK Penjaminan Kualitas'!$R$6:$R$676)),"")</f>
        <v/>
      </c>
      <c r="M18" s="63">
        <f>IFERROR(SUMIFS('KK Penjaminan Kualitas'!$R$6:$R$676,'KK Penjaminan Kualitas'!$T$6:$T$676,$S18,'KK Penjaminan Kualitas'!$E$6:$E$676,"B")/SUMPRODUCT(('KK Penjaminan Kualitas'!$T$6:$T$676=$S18)*('KK Penjaminan Kualitas'!$E$6:$E$676="B")*ISNUMBER('KK Penjaminan Kualitas'!$R$6:$R$676)),"")</f>
        <v/>
      </c>
      <c r="N18" s="63">
        <f>IFERROR(SUMIFS('KK Penjaminan Kualitas'!$R$6:$R$676,'KK Penjaminan Kualitas'!$T$6:$T$676,$S18,'KK Penjaminan Kualitas'!$E$6:$E$676,"A")/SUMPRODUCT(('KK Penjaminan Kualitas'!$T$6:$T$676=$S18)*('KK Penjaminan Kualitas'!$E$6:$E$676="A")*ISNUMBER('KK Penjaminan Kualitas'!$R$6:$R$676)),"")</f>
        <v/>
      </c>
      <c r="O18" s="38">
        <f>IF(H18=0,"",SUMIFS('KK Penjaminan Kualitas'!$R$6:$R$676,'KK Penjaminan Kualitas'!$T$6:$T$676,$S18)/H18)</f>
        <v/>
      </c>
      <c r="P18" s="30">
        <f>IF(Q18="","",IF(Q18=0,"&lt; E",MID("EDCBA",Q18,1)))</f>
        <v/>
      </c>
      <c r="Q18" s="30">
        <f>IF(H18=0,"",IF(NOT(AND(ISNUMBER(J18),J18&gt;=Petunjuk!$C$14)),0,IF(NOT(AND(ISNUMBER(K18),K18&gt;=Petunjuk!$C$14)),1,IF(NOT(AND(ISNUMBER(L18),L18&gt;=Petunjuk!$C$14)),2,IF(NOT(AND(ISNUMBER(M18),M18&gt;=Petunjuk!$C$14)),3,IF(NOT(AND(ISNUMBER(N18),N18&gt;=Petunjuk!$C$14)),4,5))))))</f>
        <v/>
      </c>
      <c r="R18" s="37">
        <f>IF(Q18="","Belum dinilai",IF(Q18=5,"Seluruh grade terpenuhi","Lengkapi evidence Grade "&amp;MID("EDCBA",Q18+1,1)&amp;IF(I18&gt;0," ("&amp;I18&amp;" item belum dinilai)","")))</f>
        <v/>
      </c>
      <c r="S18" s="39" t="inlineStr">
        <is>
          <t>1.8-2</t>
        </is>
      </c>
    </row>
    <row r="19">
      <c r="A19" s="28" t="n">
        <v>15</v>
      </c>
      <c r="B19" s="28" t="inlineStr">
        <is>
          <t>2.1</t>
        </is>
      </c>
      <c r="C19" s="37" t="inlineStr">
        <is>
          <t>Identifikasi Risiko</t>
        </is>
      </c>
      <c r="D19" s="28" t="n">
        <v>1</v>
      </c>
      <c r="E19" s="37">
        <f>IFERROR(INDEX(FILTER('KK Penjaminan Kualitas'!$D$6:$D$676,'KK Penjaminan Kualitas'!$A$6:$A$676=B19,'KK Penjaminan Kualitas'!$C$6:$C$676=D19),1),"")</f>
        <v/>
      </c>
      <c r="F19" s="28">
        <f>COUNTIFS('KK Penjaminan Kualitas'!$T$6:$T$676,$S19,'KK Penjaminan Kualitas'!$J$6:$J$676,"&lt;&gt;")</f>
        <v/>
      </c>
      <c r="G19" s="28">
        <f>COUNTIFS('KK Penjaminan Kualitas'!$T$6:$T$676,$S19,'KK Penjaminan Kualitas'!$L$6:$L$676,"N/A")</f>
        <v/>
      </c>
      <c r="H19" s="28">
        <f>SUMPRODUCT(('KK Penjaminan Kualitas'!$T$6:$T$676=$S19)*ISNUMBER('KK Penjaminan Kualitas'!$R$6:$R$676))</f>
        <v/>
      </c>
      <c r="I19" s="28">
        <f>F19-G19-H19</f>
        <v/>
      </c>
      <c r="J19" s="63">
        <f>IFERROR(SUMIFS('KK Penjaminan Kualitas'!$R$6:$R$676,'KK Penjaminan Kualitas'!$T$6:$T$676,$S19,'KK Penjaminan Kualitas'!$E$6:$E$676,"E")/SUMPRODUCT(('KK Penjaminan Kualitas'!$T$6:$T$676=$S19)*('KK Penjaminan Kualitas'!$E$6:$E$676="E")*ISNUMBER('KK Penjaminan Kualitas'!$R$6:$R$676)),"")</f>
        <v/>
      </c>
      <c r="K19" s="63">
        <f>IFERROR(SUMIFS('KK Penjaminan Kualitas'!$R$6:$R$676,'KK Penjaminan Kualitas'!$T$6:$T$676,$S19,'KK Penjaminan Kualitas'!$E$6:$E$676,"D")/SUMPRODUCT(('KK Penjaminan Kualitas'!$T$6:$T$676=$S19)*('KK Penjaminan Kualitas'!$E$6:$E$676="D")*ISNUMBER('KK Penjaminan Kualitas'!$R$6:$R$676)),"")</f>
        <v/>
      </c>
      <c r="L19" s="63">
        <f>IFERROR(SUMIFS('KK Penjaminan Kualitas'!$R$6:$R$676,'KK Penjaminan Kualitas'!$T$6:$T$676,$S19,'KK Penjaminan Kualitas'!$E$6:$E$676,"C")/SUMPRODUCT(('KK Penjaminan Kualitas'!$T$6:$T$676=$S19)*('KK Penjaminan Kualitas'!$E$6:$E$676="C")*ISNUMBER('KK Penjaminan Kualitas'!$R$6:$R$676)),"")</f>
        <v/>
      </c>
      <c r="M19" s="63">
        <f>IFERROR(SUMIFS('KK Penjaminan Kualitas'!$R$6:$R$676,'KK Penjaminan Kualitas'!$T$6:$T$676,$S19,'KK Penjaminan Kualitas'!$E$6:$E$676,"B")/SUMPRODUCT(('KK Penjaminan Kualitas'!$T$6:$T$676=$S19)*('KK Penjaminan Kualitas'!$E$6:$E$676="B")*ISNUMBER('KK Penjaminan Kualitas'!$R$6:$R$676)),"")</f>
        <v/>
      </c>
      <c r="N19" s="63">
        <f>IFERROR(SUMIFS('KK Penjaminan Kualitas'!$R$6:$R$676,'KK Penjaminan Kualitas'!$T$6:$T$676,$S19,'KK Penjaminan Kualitas'!$E$6:$E$676,"A")/SUMPRODUCT(('KK Penjaminan Kualitas'!$T$6:$T$676=$S19)*('KK Penjaminan Kualitas'!$E$6:$E$676="A")*ISNUMBER('KK Penjaminan Kualitas'!$R$6:$R$676)),"")</f>
        <v/>
      </c>
      <c r="O19" s="38">
        <f>IF(H19=0,"",SUMIFS('KK Penjaminan Kualitas'!$R$6:$R$676,'KK Penjaminan Kualitas'!$T$6:$T$676,$S19)/H19)</f>
        <v/>
      </c>
      <c r="P19" s="30">
        <f>IF(Q19="","",IF(Q19=0,"&lt; E",MID("EDCBA",Q19,1)))</f>
        <v/>
      </c>
      <c r="Q19" s="30">
        <f>IF(H19=0,"",IF(NOT(AND(ISNUMBER(J19),J19&gt;=Petunjuk!$C$14)),0,IF(NOT(AND(ISNUMBER(K19),K19&gt;=Petunjuk!$C$14)),1,IF(NOT(AND(ISNUMBER(L19),L19&gt;=Petunjuk!$C$14)),2,IF(NOT(AND(ISNUMBER(M19),M19&gt;=Petunjuk!$C$14)),3,IF(NOT(AND(ISNUMBER(N19),N19&gt;=Petunjuk!$C$14)),4,5))))))</f>
        <v/>
      </c>
      <c r="R19" s="37">
        <f>IF(Q19="","Belum dinilai",IF(Q19=5,"Seluruh grade terpenuhi","Lengkapi evidence Grade "&amp;MID("EDCBA",Q19+1,1)&amp;IF(I19&gt;0," ("&amp;I19&amp;" item belum dinilai)","")))</f>
        <v/>
      </c>
      <c r="S19" s="39" t="inlineStr">
        <is>
          <t>2.1-1</t>
        </is>
      </c>
    </row>
    <row r="20" ht="23.25" customHeight="1">
      <c r="A20" s="28" t="n">
        <v>16</v>
      </c>
      <c r="B20" s="28" t="inlineStr">
        <is>
          <t>2.1</t>
        </is>
      </c>
      <c r="C20" s="37" t="inlineStr">
        <is>
          <t>Identifikasi Risiko</t>
        </is>
      </c>
      <c r="D20" s="28" t="n">
        <v>2</v>
      </c>
      <c r="E20" s="37">
        <f>IFERROR(INDEX(FILTER('KK Penjaminan Kualitas'!$D$6:$D$676,'KK Penjaminan Kualitas'!$A$6:$A$676=B20,'KK Penjaminan Kualitas'!$C$6:$C$676=D20),1),"")</f>
        <v/>
      </c>
      <c r="F20" s="28">
        <f>COUNTIFS('KK Penjaminan Kualitas'!$T$6:$T$676,$S20,'KK Penjaminan Kualitas'!$J$6:$J$676,"&lt;&gt;")</f>
        <v/>
      </c>
      <c r="G20" s="28">
        <f>COUNTIFS('KK Penjaminan Kualitas'!$T$6:$T$676,$S20,'KK Penjaminan Kualitas'!$L$6:$L$676,"N/A")</f>
        <v/>
      </c>
      <c r="H20" s="28">
        <f>SUMPRODUCT(('KK Penjaminan Kualitas'!$T$6:$T$676=$S20)*ISNUMBER('KK Penjaminan Kualitas'!$R$6:$R$676))</f>
        <v/>
      </c>
      <c r="I20" s="28">
        <f>F20-G20-H20</f>
        <v/>
      </c>
      <c r="J20" s="63">
        <f>IFERROR(SUMIFS('KK Penjaminan Kualitas'!$R$6:$R$676,'KK Penjaminan Kualitas'!$T$6:$T$676,$S20,'KK Penjaminan Kualitas'!$E$6:$E$676,"E")/SUMPRODUCT(('KK Penjaminan Kualitas'!$T$6:$T$676=$S20)*('KK Penjaminan Kualitas'!$E$6:$E$676="E")*ISNUMBER('KK Penjaminan Kualitas'!$R$6:$R$676)),"")</f>
        <v/>
      </c>
      <c r="K20" s="63">
        <f>IFERROR(SUMIFS('KK Penjaminan Kualitas'!$R$6:$R$676,'KK Penjaminan Kualitas'!$T$6:$T$676,$S20,'KK Penjaminan Kualitas'!$E$6:$E$676,"D")/SUMPRODUCT(('KK Penjaminan Kualitas'!$T$6:$T$676=$S20)*('KK Penjaminan Kualitas'!$E$6:$E$676="D")*ISNUMBER('KK Penjaminan Kualitas'!$R$6:$R$676)),"")</f>
        <v/>
      </c>
      <c r="L20" s="63">
        <f>IFERROR(SUMIFS('KK Penjaminan Kualitas'!$R$6:$R$676,'KK Penjaminan Kualitas'!$T$6:$T$676,$S20,'KK Penjaminan Kualitas'!$E$6:$E$676,"C")/SUMPRODUCT(('KK Penjaminan Kualitas'!$T$6:$T$676=$S20)*('KK Penjaminan Kualitas'!$E$6:$E$676="C")*ISNUMBER('KK Penjaminan Kualitas'!$R$6:$R$676)),"")</f>
        <v/>
      </c>
      <c r="M20" s="63">
        <f>IFERROR(SUMIFS('KK Penjaminan Kualitas'!$R$6:$R$676,'KK Penjaminan Kualitas'!$T$6:$T$676,$S20,'KK Penjaminan Kualitas'!$E$6:$E$676,"B")/SUMPRODUCT(('KK Penjaminan Kualitas'!$T$6:$T$676=$S20)*('KK Penjaminan Kualitas'!$E$6:$E$676="B")*ISNUMBER('KK Penjaminan Kualitas'!$R$6:$R$676)),"")</f>
        <v/>
      </c>
      <c r="N20" s="63">
        <f>IFERROR(SUMIFS('KK Penjaminan Kualitas'!$R$6:$R$676,'KK Penjaminan Kualitas'!$T$6:$T$676,$S20,'KK Penjaminan Kualitas'!$E$6:$E$676,"A")/SUMPRODUCT(('KK Penjaminan Kualitas'!$T$6:$T$676=$S20)*('KK Penjaminan Kualitas'!$E$6:$E$676="A")*ISNUMBER('KK Penjaminan Kualitas'!$R$6:$R$676)),"")</f>
        <v/>
      </c>
      <c r="O20" s="38">
        <f>IF(H20=0,"",SUMIFS('KK Penjaminan Kualitas'!$R$6:$R$676,'KK Penjaminan Kualitas'!$T$6:$T$676,$S20)/H20)</f>
        <v/>
      </c>
      <c r="P20" s="30">
        <f>IF(Q20="","",IF(Q20=0,"&lt; E",MID("EDCBA",Q20,1)))</f>
        <v/>
      </c>
      <c r="Q20" s="30">
        <f>IF(H20=0,"",IF(NOT(AND(ISNUMBER(J20),J20&gt;=Petunjuk!$C$14)),0,IF(NOT(AND(ISNUMBER(K20),K20&gt;=Petunjuk!$C$14)),1,IF(NOT(AND(ISNUMBER(L20),L20&gt;=Petunjuk!$C$14)),2,IF(NOT(AND(ISNUMBER(M20),M20&gt;=Petunjuk!$C$14)),3,IF(NOT(AND(ISNUMBER(N20),N20&gt;=Petunjuk!$C$14)),4,5))))))</f>
        <v/>
      </c>
      <c r="R20" s="37">
        <f>IF(Q20="","Belum dinilai",IF(Q20=5,"Seluruh grade terpenuhi","Lengkapi evidence Grade "&amp;MID("EDCBA",Q20+1,1)&amp;IF(I20&gt;0," ("&amp;I20&amp;" item belum dinilai)","")))</f>
        <v/>
      </c>
      <c r="S20" s="39" t="inlineStr">
        <is>
          <t>2.1-2</t>
        </is>
      </c>
    </row>
    <row r="21" ht="23.25" customHeight="1">
      <c r="A21" s="28" t="n">
        <v>17</v>
      </c>
      <c r="B21" s="28" t="inlineStr">
        <is>
          <t>2.1</t>
        </is>
      </c>
      <c r="C21" s="37" t="inlineStr">
        <is>
          <t>Identifikasi Risiko</t>
        </is>
      </c>
      <c r="D21" s="28" t="n">
        <v>3</v>
      </c>
      <c r="E21" s="37">
        <f>IFERROR(INDEX(FILTER('KK Penjaminan Kualitas'!$D$6:$D$676,'KK Penjaminan Kualitas'!$A$6:$A$676=B21,'KK Penjaminan Kualitas'!$C$6:$C$676=D21),1),"")</f>
        <v/>
      </c>
      <c r="F21" s="28">
        <f>COUNTIFS('KK Penjaminan Kualitas'!$T$6:$T$676,$S21,'KK Penjaminan Kualitas'!$J$6:$J$676,"&lt;&gt;")</f>
        <v/>
      </c>
      <c r="G21" s="28">
        <f>COUNTIFS('KK Penjaminan Kualitas'!$T$6:$T$676,$S21,'KK Penjaminan Kualitas'!$L$6:$L$676,"N/A")</f>
        <v/>
      </c>
      <c r="H21" s="28">
        <f>SUMPRODUCT(('KK Penjaminan Kualitas'!$T$6:$T$676=$S21)*ISNUMBER('KK Penjaminan Kualitas'!$R$6:$R$676))</f>
        <v/>
      </c>
      <c r="I21" s="28">
        <f>F21-G21-H21</f>
        <v/>
      </c>
      <c r="J21" s="63">
        <f>IFERROR(SUMIFS('KK Penjaminan Kualitas'!$R$6:$R$676,'KK Penjaminan Kualitas'!$T$6:$T$676,$S21,'KK Penjaminan Kualitas'!$E$6:$E$676,"E")/SUMPRODUCT(('KK Penjaminan Kualitas'!$T$6:$T$676=$S21)*('KK Penjaminan Kualitas'!$E$6:$E$676="E")*ISNUMBER('KK Penjaminan Kualitas'!$R$6:$R$676)),"")</f>
        <v/>
      </c>
      <c r="K21" s="63">
        <f>IFERROR(SUMIFS('KK Penjaminan Kualitas'!$R$6:$R$676,'KK Penjaminan Kualitas'!$T$6:$T$676,$S21,'KK Penjaminan Kualitas'!$E$6:$E$676,"D")/SUMPRODUCT(('KK Penjaminan Kualitas'!$T$6:$T$676=$S21)*('KK Penjaminan Kualitas'!$E$6:$E$676="D")*ISNUMBER('KK Penjaminan Kualitas'!$R$6:$R$676)),"")</f>
        <v/>
      </c>
      <c r="L21" s="63">
        <f>IFERROR(SUMIFS('KK Penjaminan Kualitas'!$R$6:$R$676,'KK Penjaminan Kualitas'!$T$6:$T$676,$S21,'KK Penjaminan Kualitas'!$E$6:$E$676,"C")/SUMPRODUCT(('KK Penjaminan Kualitas'!$T$6:$T$676=$S21)*('KK Penjaminan Kualitas'!$E$6:$E$676="C")*ISNUMBER('KK Penjaminan Kualitas'!$R$6:$R$676)),"")</f>
        <v/>
      </c>
      <c r="M21" s="63">
        <f>IFERROR(SUMIFS('KK Penjaminan Kualitas'!$R$6:$R$676,'KK Penjaminan Kualitas'!$T$6:$T$676,$S21,'KK Penjaminan Kualitas'!$E$6:$E$676,"B")/SUMPRODUCT(('KK Penjaminan Kualitas'!$T$6:$T$676=$S21)*('KK Penjaminan Kualitas'!$E$6:$E$676="B")*ISNUMBER('KK Penjaminan Kualitas'!$R$6:$R$676)),"")</f>
        <v/>
      </c>
      <c r="N21" s="63">
        <f>IFERROR(SUMIFS('KK Penjaminan Kualitas'!$R$6:$R$676,'KK Penjaminan Kualitas'!$T$6:$T$676,$S21,'KK Penjaminan Kualitas'!$E$6:$E$676,"A")/SUMPRODUCT(('KK Penjaminan Kualitas'!$T$6:$T$676=$S21)*('KK Penjaminan Kualitas'!$E$6:$E$676="A")*ISNUMBER('KK Penjaminan Kualitas'!$R$6:$R$676)),"")</f>
        <v/>
      </c>
      <c r="O21" s="38">
        <f>IF(H21=0,"",SUMIFS('KK Penjaminan Kualitas'!$R$6:$R$676,'KK Penjaminan Kualitas'!$T$6:$T$676,$S21)/H21)</f>
        <v/>
      </c>
      <c r="P21" s="30">
        <f>IF(Q21="","",IF(Q21=0,"&lt; E",MID("EDCBA",Q21,1)))</f>
        <v/>
      </c>
      <c r="Q21" s="30">
        <f>IF(H21=0,"",IF(NOT(AND(ISNUMBER(J21),J21&gt;=Petunjuk!$C$14)),0,IF(NOT(AND(ISNUMBER(K21),K21&gt;=Petunjuk!$C$14)),1,IF(NOT(AND(ISNUMBER(L21),L21&gt;=Petunjuk!$C$14)),2,IF(NOT(AND(ISNUMBER(M21),M21&gt;=Petunjuk!$C$14)),3,IF(NOT(AND(ISNUMBER(N21),N21&gt;=Petunjuk!$C$14)),4,5))))))</f>
        <v/>
      </c>
      <c r="R21" s="37">
        <f>IF(Q21="","Belum dinilai",IF(Q21=5,"Seluruh grade terpenuhi","Lengkapi evidence Grade "&amp;MID("EDCBA",Q21+1,1)&amp;IF(I21&gt;0," ("&amp;I21&amp;" item belum dinilai)","")))</f>
        <v/>
      </c>
      <c r="S21" s="39" t="inlineStr">
        <is>
          <t>2.1-3</t>
        </is>
      </c>
    </row>
    <row r="22" ht="23.25" customHeight="1">
      <c r="A22" s="28" t="n">
        <v>18</v>
      </c>
      <c r="B22" s="28" t="inlineStr">
        <is>
          <t>2.2</t>
        </is>
      </c>
      <c r="C22" s="37" t="inlineStr">
        <is>
          <t>Analisis Risiko</t>
        </is>
      </c>
      <c r="D22" s="28" t="n">
        <v>1</v>
      </c>
      <c r="E22" s="37">
        <f>IFERROR(INDEX(FILTER('KK Penjaminan Kualitas'!$D$6:$D$676,'KK Penjaminan Kualitas'!$A$6:$A$676=B22,'KK Penjaminan Kualitas'!$C$6:$C$676=D22),1),"")</f>
        <v/>
      </c>
      <c r="F22" s="28">
        <f>COUNTIFS('KK Penjaminan Kualitas'!$T$6:$T$676,$S22,'KK Penjaminan Kualitas'!$J$6:$J$676,"&lt;&gt;")</f>
        <v/>
      </c>
      <c r="G22" s="28">
        <f>COUNTIFS('KK Penjaminan Kualitas'!$T$6:$T$676,$S22,'KK Penjaminan Kualitas'!$L$6:$L$676,"N/A")</f>
        <v/>
      </c>
      <c r="H22" s="28">
        <f>SUMPRODUCT(('KK Penjaminan Kualitas'!$T$6:$T$676=$S22)*ISNUMBER('KK Penjaminan Kualitas'!$R$6:$R$676))</f>
        <v/>
      </c>
      <c r="I22" s="28">
        <f>F22-G22-H22</f>
        <v/>
      </c>
      <c r="J22" s="63">
        <f>IFERROR(SUMIFS('KK Penjaminan Kualitas'!$R$6:$R$676,'KK Penjaminan Kualitas'!$T$6:$T$676,$S22,'KK Penjaminan Kualitas'!$E$6:$E$676,"E")/SUMPRODUCT(('KK Penjaminan Kualitas'!$T$6:$T$676=$S22)*('KK Penjaminan Kualitas'!$E$6:$E$676="E")*ISNUMBER('KK Penjaminan Kualitas'!$R$6:$R$676)),"")</f>
        <v/>
      </c>
      <c r="K22" s="63">
        <f>IFERROR(SUMIFS('KK Penjaminan Kualitas'!$R$6:$R$676,'KK Penjaminan Kualitas'!$T$6:$T$676,$S22,'KK Penjaminan Kualitas'!$E$6:$E$676,"D")/SUMPRODUCT(('KK Penjaminan Kualitas'!$T$6:$T$676=$S22)*('KK Penjaminan Kualitas'!$E$6:$E$676="D")*ISNUMBER('KK Penjaminan Kualitas'!$R$6:$R$676)),"")</f>
        <v/>
      </c>
      <c r="L22" s="63">
        <f>IFERROR(SUMIFS('KK Penjaminan Kualitas'!$R$6:$R$676,'KK Penjaminan Kualitas'!$T$6:$T$676,$S22,'KK Penjaminan Kualitas'!$E$6:$E$676,"C")/SUMPRODUCT(('KK Penjaminan Kualitas'!$T$6:$T$676=$S22)*('KK Penjaminan Kualitas'!$E$6:$E$676="C")*ISNUMBER('KK Penjaminan Kualitas'!$R$6:$R$676)),"")</f>
        <v/>
      </c>
      <c r="M22" s="63">
        <f>IFERROR(SUMIFS('KK Penjaminan Kualitas'!$R$6:$R$676,'KK Penjaminan Kualitas'!$T$6:$T$676,$S22,'KK Penjaminan Kualitas'!$E$6:$E$676,"B")/SUMPRODUCT(('KK Penjaminan Kualitas'!$T$6:$T$676=$S22)*('KK Penjaminan Kualitas'!$E$6:$E$676="B")*ISNUMBER('KK Penjaminan Kualitas'!$R$6:$R$676)),"")</f>
        <v/>
      </c>
      <c r="N22" s="63">
        <f>IFERROR(SUMIFS('KK Penjaminan Kualitas'!$R$6:$R$676,'KK Penjaminan Kualitas'!$T$6:$T$676,$S22,'KK Penjaminan Kualitas'!$E$6:$E$676,"A")/SUMPRODUCT(('KK Penjaminan Kualitas'!$T$6:$T$676=$S22)*('KK Penjaminan Kualitas'!$E$6:$E$676="A")*ISNUMBER('KK Penjaminan Kualitas'!$R$6:$R$676)),"")</f>
        <v/>
      </c>
      <c r="O22" s="38">
        <f>IF(H22=0,"",SUMIFS('KK Penjaminan Kualitas'!$R$6:$R$676,'KK Penjaminan Kualitas'!$T$6:$T$676,$S22)/H22)</f>
        <v/>
      </c>
      <c r="P22" s="30">
        <f>IF(Q22="","",IF(Q22=0,"&lt; E",MID("EDCBA",Q22,1)))</f>
        <v/>
      </c>
      <c r="Q22" s="30">
        <f>IF(H22=0,"",IF(NOT(AND(ISNUMBER(J22),J22&gt;=Petunjuk!$C$14)),0,IF(NOT(AND(ISNUMBER(K22),K22&gt;=Petunjuk!$C$14)),1,IF(NOT(AND(ISNUMBER(L22),L22&gt;=Petunjuk!$C$14)),2,IF(NOT(AND(ISNUMBER(M22),M22&gt;=Petunjuk!$C$14)),3,IF(NOT(AND(ISNUMBER(N22),N22&gt;=Petunjuk!$C$14)),4,5))))))</f>
        <v/>
      </c>
      <c r="R22" s="37">
        <f>IF(Q22="","Belum dinilai",IF(Q22=5,"Seluruh grade terpenuhi","Lengkapi evidence Grade "&amp;MID("EDCBA",Q22+1,1)&amp;IF(I22&gt;0," ("&amp;I22&amp;" item belum dinilai)","")))</f>
        <v/>
      </c>
      <c r="S22" s="39" t="inlineStr">
        <is>
          <t>2.2-1</t>
        </is>
      </c>
    </row>
    <row r="23">
      <c r="A23" s="28" t="n">
        <v>19</v>
      </c>
      <c r="B23" s="28" t="inlineStr">
        <is>
          <t>2.2</t>
        </is>
      </c>
      <c r="C23" s="37" t="inlineStr">
        <is>
          <t>Analisis Risiko</t>
        </is>
      </c>
      <c r="D23" s="28" t="n">
        <v>2</v>
      </c>
      <c r="E23" s="37">
        <f>IFERROR(INDEX(FILTER('KK Penjaminan Kualitas'!$D$6:$D$676,'KK Penjaminan Kualitas'!$A$6:$A$676=B23,'KK Penjaminan Kualitas'!$C$6:$C$676=D23),1),"")</f>
        <v/>
      </c>
      <c r="F23" s="28">
        <f>COUNTIFS('KK Penjaminan Kualitas'!$T$6:$T$676,$S23,'KK Penjaminan Kualitas'!$J$6:$J$676,"&lt;&gt;")</f>
        <v/>
      </c>
      <c r="G23" s="28">
        <f>COUNTIFS('KK Penjaminan Kualitas'!$T$6:$T$676,$S23,'KK Penjaminan Kualitas'!$L$6:$L$676,"N/A")</f>
        <v/>
      </c>
      <c r="H23" s="28">
        <f>SUMPRODUCT(('KK Penjaminan Kualitas'!$T$6:$T$676=$S23)*ISNUMBER('KK Penjaminan Kualitas'!$R$6:$R$676))</f>
        <v/>
      </c>
      <c r="I23" s="28">
        <f>F23-G23-H23</f>
        <v/>
      </c>
      <c r="J23" s="63">
        <f>IFERROR(SUMIFS('KK Penjaminan Kualitas'!$R$6:$R$676,'KK Penjaminan Kualitas'!$T$6:$T$676,$S23,'KK Penjaminan Kualitas'!$E$6:$E$676,"E")/SUMPRODUCT(('KK Penjaminan Kualitas'!$T$6:$T$676=$S23)*('KK Penjaminan Kualitas'!$E$6:$E$676="E")*ISNUMBER('KK Penjaminan Kualitas'!$R$6:$R$676)),"")</f>
        <v/>
      </c>
      <c r="K23" s="63">
        <f>IFERROR(SUMIFS('KK Penjaminan Kualitas'!$R$6:$R$676,'KK Penjaminan Kualitas'!$T$6:$T$676,$S23,'KK Penjaminan Kualitas'!$E$6:$E$676,"D")/SUMPRODUCT(('KK Penjaminan Kualitas'!$T$6:$T$676=$S23)*('KK Penjaminan Kualitas'!$E$6:$E$676="D")*ISNUMBER('KK Penjaminan Kualitas'!$R$6:$R$676)),"")</f>
        <v/>
      </c>
      <c r="L23" s="63">
        <f>IFERROR(SUMIFS('KK Penjaminan Kualitas'!$R$6:$R$676,'KK Penjaminan Kualitas'!$T$6:$T$676,$S23,'KK Penjaminan Kualitas'!$E$6:$E$676,"C")/SUMPRODUCT(('KK Penjaminan Kualitas'!$T$6:$T$676=$S23)*('KK Penjaminan Kualitas'!$E$6:$E$676="C")*ISNUMBER('KK Penjaminan Kualitas'!$R$6:$R$676)),"")</f>
        <v/>
      </c>
      <c r="M23" s="63">
        <f>IFERROR(SUMIFS('KK Penjaminan Kualitas'!$R$6:$R$676,'KK Penjaminan Kualitas'!$T$6:$T$676,$S23,'KK Penjaminan Kualitas'!$E$6:$E$676,"B")/SUMPRODUCT(('KK Penjaminan Kualitas'!$T$6:$T$676=$S23)*('KK Penjaminan Kualitas'!$E$6:$E$676="B")*ISNUMBER('KK Penjaminan Kualitas'!$R$6:$R$676)),"")</f>
        <v/>
      </c>
      <c r="N23" s="63">
        <f>IFERROR(SUMIFS('KK Penjaminan Kualitas'!$R$6:$R$676,'KK Penjaminan Kualitas'!$T$6:$T$676,$S23,'KK Penjaminan Kualitas'!$E$6:$E$676,"A")/SUMPRODUCT(('KK Penjaminan Kualitas'!$T$6:$T$676=$S23)*('KK Penjaminan Kualitas'!$E$6:$E$676="A")*ISNUMBER('KK Penjaminan Kualitas'!$R$6:$R$676)),"")</f>
        <v/>
      </c>
      <c r="O23" s="38">
        <f>IF(H23=0,"",SUMIFS('KK Penjaminan Kualitas'!$R$6:$R$676,'KK Penjaminan Kualitas'!$T$6:$T$676,$S23)/H23)</f>
        <v/>
      </c>
      <c r="P23" s="30">
        <f>IF(Q23="","",IF(Q23=0,"&lt; E",MID("EDCBA",Q23,1)))</f>
        <v/>
      </c>
      <c r="Q23" s="30">
        <f>IF(H23=0,"",IF(NOT(AND(ISNUMBER(J23),J23&gt;=Petunjuk!$C$14)),0,IF(NOT(AND(ISNUMBER(K23),K23&gt;=Petunjuk!$C$14)),1,IF(NOT(AND(ISNUMBER(L23),L23&gt;=Petunjuk!$C$14)),2,IF(NOT(AND(ISNUMBER(M23),M23&gt;=Petunjuk!$C$14)),3,IF(NOT(AND(ISNUMBER(N23),N23&gt;=Petunjuk!$C$14)),4,5))))))</f>
        <v/>
      </c>
      <c r="R23" s="37">
        <f>IF(Q23="","Belum dinilai",IF(Q23=5,"Seluruh grade terpenuhi","Lengkapi evidence Grade "&amp;MID("EDCBA",Q23+1,1)&amp;IF(I23&gt;0," ("&amp;I23&amp;" item belum dinilai)","")))</f>
        <v/>
      </c>
      <c r="S23" s="39" t="inlineStr">
        <is>
          <t>2.2-2</t>
        </is>
      </c>
    </row>
    <row r="24">
      <c r="A24" s="28" t="n">
        <v>20</v>
      </c>
      <c r="B24" s="28" t="inlineStr">
        <is>
          <t>2.2</t>
        </is>
      </c>
      <c r="C24" s="37" t="inlineStr">
        <is>
          <t>Analisis Risiko</t>
        </is>
      </c>
      <c r="D24" s="28" t="n">
        <v>3</v>
      </c>
      <c r="E24" s="37">
        <f>IFERROR(INDEX(FILTER('KK Penjaminan Kualitas'!$D$6:$D$676,'KK Penjaminan Kualitas'!$A$6:$A$676=B24,'KK Penjaminan Kualitas'!$C$6:$C$676=D24),1),"")</f>
        <v/>
      </c>
      <c r="F24" s="28">
        <f>COUNTIFS('KK Penjaminan Kualitas'!$T$6:$T$676,$S24,'KK Penjaminan Kualitas'!$J$6:$J$676,"&lt;&gt;")</f>
        <v/>
      </c>
      <c r="G24" s="28">
        <f>COUNTIFS('KK Penjaminan Kualitas'!$T$6:$T$676,$S24,'KK Penjaminan Kualitas'!$L$6:$L$676,"N/A")</f>
        <v/>
      </c>
      <c r="H24" s="28">
        <f>SUMPRODUCT(('KK Penjaminan Kualitas'!$T$6:$T$676=$S24)*ISNUMBER('KK Penjaminan Kualitas'!$R$6:$R$676))</f>
        <v/>
      </c>
      <c r="I24" s="28">
        <f>F24-G24-H24</f>
        <v/>
      </c>
      <c r="J24" s="63">
        <f>IFERROR(SUMIFS('KK Penjaminan Kualitas'!$R$6:$R$676,'KK Penjaminan Kualitas'!$T$6:$T$676,$S24,'KK Penjaminan Kualitas'!$E$6:$E$676,"E")/SUMPRODUCT(('KK Penjaminan Kualitas'!$T$6:$T$676=$S24)*('KK Penjaminan Kualitas'!$E$6:$E$676="E")*ISNUMBER('KK Penjaminan Kualitas'!$R$6:$R$676)),"")</f>
        <v/>
      </c>
      <c r="K24" s="63">
        <f>IFERROR(SUMIFS('KK Penjaminan Kualitas'!$R$6:$R$676,'KK Penjaminan Kualitas'!$T$6:$T$676,$S24,'KK Penjaminan Kualitas'!$E$6:$E$676,"D")/SUMPRODUCT(('KK Penjaminan Kualitas'!$T$6:$T$676=$S24)*('KK Penjaminan Kualitas'!$E$6:$E$676="D")*ISNUMBER('KK Penjaminan Kualitas'!$R$6:$R$676)),"")</f>
        <v/>
      </c>
      <c r="L24" s="63">
        <f>IFERROR(SUMIFS('KK Penjaminan Kualitas'!$R$6:$R$676,'KK Penjaminan Kualitas'!$T$6:$T$676,$S24,'KK Penjaminan Kualitas'!$E$6:$E$676,"C")/SUMPRODUCT(('KK Penjaminan Kualitas'!$T$6:$T$676=$S24)*('KK Penjaminan Kualitas'!$E$6:$E$676="C")*ISNUMBER('KK Penjaminan Kualitas'!$R$6:$R$676)),"")</f>
        <v/>
      </c>
      <c r="M24" s="63">
        <f>IFERROR(SUMIFS('KK Penjaminan Kualitas'!$R$6:$R$676,'KK Penjaminan Kualitas'!$T$6:$T$676,$S24,'KK Penjaminan Kualitas'!$E$6:$E$676,"B")/SUMPRODUCT(('KK Penjaminan Kualitas'!$T$6:$T$676=$S24)*('KK Penjaminan Kualitas'!$E$6:$E$676="B")*ISNUMBER('KK Penjaminan Kualitas'!$R$6:$R$676)),"")</f>
        <v/>
      </c>
      <c r="N24" s="63">
        <f>IFERROR(SUMIFS('KK Penjaminan Kualitas'!$R$6:$R$676,'KK Penjaminan Kualitas'!$T$6:$T$676,$S24,'KK Penjaminan Kualitas'!$E$6:$E$676,"A")/SUMPRODUCT(('KK Penjaminan Kualitas'!$T$6:$T$676=$S24)*('KK Penjaminan Kualitas'!$E$6:$E$676="A")*ISNUMBER('KK Penjaminan Kualitas'!$R$6:$R$676)),"")</f>
        <v/>
      </c>
      <c r="O24" s="38">
        <f>IF(H24=0,"",SUMIFS('KK Penjaminan Kualitas'!$R$6:$R$676,'KK Penjaminan Kualitas'!$T$6:$T$676,$S24)/H24)</f>
        <v/>
      </c>
      <c r="P24" s="30">
        <f>IF(Q24="","",IF(Q24=0,"&lt; E",MID("EDCBA",Q24,1)))</f>
        <v/>
      </c>
      <c r="Q24" s="30">
        <f>IF(H24=0,"",IF(NOT(AND(ISNUMBER(J24),J24&gt;=Petunjuk!$C$14)),0,IF(NOT(AND(ISNUMBER(K24),K24&gt;=Petunjuk!$C$14)),1,IF(NOT(AND(ISNUMBER(L24),L24&gt;=Petunjuk!$C$14)),2,IF(NOT(AND(ISNUMBER(M24),M24&gt;=Petunjuk!$C$14)),3,IF(NOT(AND(ISNUMBER(N24),N24&gt;=Petunjuk!$C$14)),4,5))))))</f>
        <v/>
      </c>
      <c r="R24" s="37">
        <f>IF(Q24="","Belum dinilai",IF(Q24=5,"Seluruh grade terpenuhi","Lengkapi evidence Grade "&amp;MID("EDCBA",Q24+1,1)&amp;IF(I24&gt;0," ("&amp;I24&amp;" item belum dinilai)","")))</f>
        <v/>
      </c>
      <c r="S24" s="39" t="inlineStr">
        <is>
          <t>2.2-3</t>
        </is>
      </c>
    </row>
    <row r="25">
      <c r="A25" s="28" t="n">
        <v>21</v>
      </c>
      <c r="B25" s="28" t="inlineStr">
        <is>
          <t>2.2</t>
        </is>
      </c>
      <c r="C25" s="37" t="inlineStr">
        <is>
          <t>Analisis Risiko</t>
        </is>
      </c>
      <c r="D25" s="28" t="n">
        <v>4</v>
      </c>
      <c r="E25" s="37">
        <f>IFERROR(INDEX(FILTER('KK Penjaminan Kualitas'!$D$6:$D$676,'KK Penjaminan Kualitas'!$A$6:$A$676=B25,'KK Penjaminan Kualitas'!$C$6:$C$676=D25),1),"")</f>
        <v/>
      </c>
      <c r="F25" s="28">
        <f>COUNTIFS('KK Penjaminan Kualitas'!$T$6:$T$676,$S25,'KK Penjaminan Kualitas'!$J$6:$J$676,"&lt;&gt;")</f>
        <v/>
      </c>
      <c r="G25" s="28">
        <f>COUNTIFS('KK Penjaminan Kualitas'!$T$6:$T$676,$S25,'KK Penjaminan Kualitas'!$L$6:$L$676,"N/A")</f>
        <v/>
      </c>
      <c r="H25" s="28">
        <f>SUMPRODUCT(('KK Penjaminan Kualitas'!$T$6:$T$676=$S25)*ISNUMBER('KK Penjaminan Kualitas'!$R$6:$R$676))</f>
        <v/>
      </c>
      <c r="I25" s="28">
        <f>F25-G25-H25</f>
        <v/>
      </c>
      <c r="J25" s="63">
        <f>IFERROR(SUMIFS('KK Penjaminan Kualitas'!$R$6:$R$676,'KK Penjaminan Kualitas'!$T$6:$T$676,$S25,'KK Penjaminan Kualitas'!$E$6:$E$676,"E")/SUMPRODUCT(('KK Penjaminan Kualitas'!$T$6:$T$676=$S25)*('KK Penjaminan Kualitas'!$E$6:$E$676="E")*ISNUMBER('KK Penjaminan Kualitas'!$R$6:$R$676)),"")</f>
        <v/>
      </c>
      <c r="K25" s="63">
        <f>IFERROR(SUMIFS('KK Penjaminan Kualitas'!$R$6:$R$676,'KK Penjaminan Kualitas'!$T$6:$T$676,$S25,'KK Penjaminan Kualitas'!$E$6:$E$676,"D")/SUMPRODUCT(('KK Penjaminan Kualitas'!$T$6:$T$676=$S25)*('KK Penjaminan Kualitas'!$E$6:$E$676="D")*ISNUMBER('KK Penjaminan Kualitas'!$R$6:$R$676)),"")</f>
        <v/>
      </c>
      <c r="L25" s="63">
        <f>IFERROR(SUMIFS('KK Penjaminan Kualitas'!$R$6:$R$676,'KK Penjaminan Kualitas'!$T$6:$T$676,$S25,'KK Penjaminan Kualitas'!$E$6:$E$676,"C")/SUMPRODUCT(('KK Penjaminan Kualitas'!$T$6:$T$676=$S25)*('KK Penjaminan Kualitas'!$E$6:$E$676="C")*ISNUMBER('KK Penjaminan Kualitas'!$R$6:$R$676)),"")</f>
        <v/>
      </c>
      <c r="M25" s="63">
        <f>IFERROR(SUMIFS('KK Penjaminan Kualitas'!$R$6:$R$676,'KK Penjaminan Kualitas'!$T$6:$T$676,$S25,'KK Penjaminan Kualitas'!$E$6:$E$676,"B")/SUMPRODUCT(('KK Penjaminan Kualitas'!$T$6:$T$676=$S25)*('KK Penjaminan Kualitas'!$E$6:$E$676="B")*ISNUMBER('KK Penjaminan Kualitas'!$R$6:$R$676)),"")</f>
        <v/>
      </c>
      <c r="N25" s="63">
        <f>IFERROR(SUMIFS('KK Penjaminan Kualitas'!$R$6:$R$676,'KK Penjaminan Kualitas'!$T$6:$T$676,$S25,'KK Penjaminan Kualitas'!$E$6:$E$676,"A")/SUMPRODUCT(('KK Penjaminan Kualitas'!$T$6:$T$676=$S25)*('KK Penjaminan Kualitas'!$E$6:$E$676="A")*ISNUMBER('KK Penjaminan Kualitas'!$R$6:$R$676)),"")</f>
        <v/>
      </c>
      <c r="O25" s="38">
        <f>IF(H25=0,"",SUMIFS('KK Penjaminan Kualitas'!$R$6:$R$676,'KK Penjaminan Kualitas'!$T$6:$T$676,$S25)/H25)</f>
        <v/>
      </c>
      <c r="P25" s="30">
        <f>IF(Q25="","",IF(Q25=0,"&lt; E",MID("EDCBA",Q25,1)))</f>
        <v/>
      </c>
      <c r="Q25" s="30">
        <f>IF(H25=0,"",IF(NOT(AND(ISNUMBER(J25),J25&gt;=Petunjuk!$C$14)),0,IF(NOT(AND(ISNUMBER(K25),K25&gt;=Petunjuk!$C$14)),1,IF(NOT(AND(ISNUMBER(L25),L25&gt;=Petunjuk!$C$14)),2,IF(NOT(AND(ISNUMBER(M25),M25&gt;=Petunjuk!$C$14)),3,IF(NOT(AND(ISNUMBER(N25),N25&gt;=Petunjuk!$C$14)),4,5))))))</f>
        <v/>
      </c>
      <c r="R25" s="37">
        <f>IF(Q25="","Belum dinilai",IF(Q25=5,"Seluruh grade terpenuhi","Lengkapi evidence Grade "&amp;MID("EDCBA",Q25+1,1)&amp;IF(I25&gt;0," ("&amp;I25&amp;" item belum dinilai)","")))</f>
        <v/>
      </c>
      <c r="S25" s="39" t="inlineStr">
        <is>
          <t>2.2-4</t>
        </is>
      </c>
    </row>
    <row r="26">
      <c r="A26" s="28" t="n">
        <v>22</v>
      </c>
      <c r="B26" s="28" t="inlineStr">
        <is>
          <t>2.2</t>
        </is>
      </c>
      <c r="C26" s="37" t="inlineStr">
        <is>
          <t>Analisis Risiko</t>
        </is>
      </c>
      <c r="D26" s="28" t="n">
        <v>5</v>
      </c>
      <c r="E26" s="37">
        <f>IFERROR(INDEX(FILTER('KK Penjaminan Kualitas'!$D$6:$D$676,'KK Penjaminan Kualitas'!$A$6:$A$676=B26,'KK Penjaminan Kualitas'!$C$6:$C$676=D26),1),"")</f>
        <v/>
      </c>
      <c r="F26" s="28">
        <f>COUNTIFS('KK Penjaminan Kualitas'!$T$6:$T$676,$S26,'KK Penjaminan Kualitas'!$J$6:$J$676,"&lt;&gt;")</f>
        <v/>
      </c>
      <c r="G26" s="28">
        <f>COUNTIFS('KK Penjaminan Kualitas'!$T$6:$T$676,$S26,'KK Penjaminan Kualitas'!$L$6:$L$676,"N/A")</f>
        <v/>
      </c>
      <c r="H26" s="28">
        <f>SUMPRODUCT(('KK Penjaminan Kualitas'!$T$6:$T$676=$S26)*ISNUMBER('KK Penjaminan Kualitas'!$R$6:$R$676))</f>
        <v/>
      </c>
      <c r="I26" s="28">
        <f>F26-G26-H26</f>
        <v/>
      </c>
      <c r="J26" s="63">
        <f>IFERROR(SUMIFS('KK Penjaminan Kualitas'!$R$6:$R$676,'KK Penjaminan Kualitas'!$T$6:$T$676,$S26,'KK Penjaminan Kualitas'!$E$6:$E$676,"E")/SUMPRODUCT(('KK Penjaminan Kualitas'!$T$6:$T$676=$S26)*('KK Penjaminan Kualitas'!$E$6:$E$676="E")*ISNUMBER('KK Penjaminan Kualitas'!$R$6:$R$676)),"")</f>
        <v/>
      </c>
      <c r="K26" s="63">
        <f>IFERROR(SUMIFS('KK Penjaminan Kualitas'!$R$6:$R$676,'KK Penjaminan Kualitas'!$T$6:$T$676,$S26,'KK Penjaminan Kualitas'!$E$6:$E$676,"D")/SUMPRODUCT(('KK Penjaminan Kualitas'!$T$6:$T$676=$S26)*('KK Penjaminan Kualitas'!$E$6:$E$676="D")*ISNUMBER('KK Penjaminan Kualitas'!$R$6:$R$676)),"")</f>
        <v/>
      </c>
      <c r="L26" s="63">
        <f>IFERROR(SUMIFS('KK Penjaminan Kualitas'!$R$6:$R$676,'KK Penjaminan Kualitas'!$T$6:$T$676,$S26,'KK Penjaminan Kualitas'!$E$6:$E$676,"C")/SUMPRODUCT(('KK Penjaminan Kualitas'!$T$6:$T$676=$S26)*('KK Penjaminan Kualitas'!$E$6:$E$676="C")*ISNUMBER('KK Penjaminan Kualitas'!$R$6:$R$676)),"")</f>
        <v/>
      </c>
      <c r="M26" s="63">
        <f>IFERROR(SUMIFS('KK Penjaminan Kualitas'!$R$6:$R$676,'KK Penjaminan Kualitas'!$T$6:$T$676,$S26,'KK Penjaminan Kualitas'!$E$6:$E$676,"B")/SUMPRODUCT(('KK Penjaminan Kualitas'!$T$6:$T$676=$S26)*('KK Penjaminan Kualitas'!$E$6:$E$676="B")*ISNUMBER('KK Penjaminan Kualitas'!$R$6:$R$676)),"")</f>
        <v/>
      </c>
      <c r="N26" s="63">
        <f>IFERROR(SUMIFS('KK Penjaminan Kualitas'!$R$6:$R$676,'KK Penjaminan Kualitas'!$T$6:$T$676,$S26,'KK Penjaminan Kualitas'!$E$6:$E$676,"A")/SUMPRODUCT(('KK Penjaminan Kualitas'!$T$6:$T$676=$S26)*('KK Penjaminan Kualitas'!$E$6:$E$676="A")*ISNUMBER('KK Penjaminan Kualitas'!$R$6:$R$676)),"")</f>
        <v/>
      </c>
      <c r="O26" s="38">
        <f>IF(H26=0,"",SUMIFS('KK Penjaminan Kualitas'!$R$6:$R$676,'KK Penjaminan Kualitas'!$T$6:$T$676,$S26)/H26)</f>
        <v/>
      </c>
      <c r="P26" s="30">
        <f>IF(Q26="","",IF(Q26=0,"&lt; E",MID("EDCBA",Q26,1)))</f>
        <v/>
      </c>
      <c r="Q26" s="30">
        <f>IF(H26=0,"",IF(NOT(AND(ISNUMBER(J26),J26&gt;=Petunjuk!$C$14)),0,IF(NOT(AND(ISNUMBER(K26),K26&gt;=Petunjuk!$C$14)),1,IF(NOT(AND(ISNUMBER(L26),L26&gt;=Petunjuk!$C$14)),2,IF(NOT(AND(ISNUMBER(M26),M26&gt;=Petunjuk!$C$14)),3,IF(NOT(AND(ISNUMBER(N26),N26&gt;=Petunjuk!$C$14)),4,5))))))</f>
        <v/>
      </c>
      <c r="R26" s="37">
        <f>IF(Q26="","Belum dinilai",IF(Q26=5,"Seluruh grade terpenuhi","Lengkapi evidence Grade "&amp;MID("EDCBA",Q26+1,1)&amp;IF(I26&gt;0," ("&amp;I26&amp;" item belum dinilai)","")))</f>
        <v/>
      </c>
      <c r="S26" s="39" t="inlineStr">
        <is>
          <t>2.2-5</t>
        </is>
      </c>
    </row>
    <row r="27" ht="58.15" customHeight="1">
      <c r="A27" s="28" t="n">
        <v>23</v>
      </c>
      <c r="B27" s="28" t="inlineStr">
        <is>
          <t>3.1</t>
        </is>
      </c>
      <c r="C27" s="37" t="inlineStr">
        <is>
          <t>Reviu atas Kinerja Instansi Pemerintah</t>
        </is>
      </c>
      <c r="D27" s="28" t="n">
        <v>1</v>
      </c>
      <c r="E27" s="37">
        <f>IFERROR(INDEX(FILTER('KK Penjaminan Kualitas'!$D$6:$D$676,'KK Penjaminan Kualitas'!$A$6:$A$676=B27,'KK Penjaminan Kualitas'!$C$6:$C$676=D27),1),"")</f>
        <v/>
      </c>
      <c r="F27" s="28">
        <f>COUNTIFS('KK Penjaminan Kualitas'!$T$6:$T$676,$S27,'KK Penjaminan Kualitas'!$J$6:$J$676,"&lt;&gt;")</f>
        <v/>
      </c>
      <c r="G27" s="28">
        <f>COUNTIFS('KK Penjaminan Kualitas'!$T$6:$T$676,$S27,'KK Penjaminan Kualitas'!$L$6:$L$676,"N/A")</f>
        <v/>
      </c>
      <c r="H27" s="28">
        <f>SUMPRODUCT(('KK Penjaminan Kualitas'!$T$6:$T$676=$S27)*ISNUMBER('KK Penjaminan Kualitas'!$R$6:$R$676))</f>
        <v/>
      </c>
      <c r="I27" s="28">
        <f>F27-G27-H27</f>
        <v/>
      </c>
      <c r="J27" s="63">
        <f>IFERROR(SUMIFS('KK Penjaminan Kualitas'!$R$6:$R$676,'KK Penjaminan Kualitas'!$T$6:$T$676,$S27,'KK Penjaminan Kualitas'!$E$6:$E$676,"E")/SUMPRODUCT(('KK Penjaminan Kualitas'!$T$6:$T$676=$S27)*('KK Penjaminan Kualitas'!$E$6:$E$676="E")*ISNUMBER('KK Penjaminan Kualitas'!$R$6:$R$676)),"")</f>
        <v/>
      </c>
      <c r="K27" s="63">
        <f>IFERROR(SUMIFS('KK Penjaminan Kualitas'!$R$6:$R$676,'KK Penjaminan Kualitas'!$T$6:$T$676,$S27,'KK Penjaminan Kualitas'!$E$6:$E$676,"D")/SUMPRODUCT(('KK Penjaminan Kualitas'!$T$6:$T$676=$S27)*('KK Penjaminan Kualitas'!$E$6:$E$676="D")*ISNUMBER('KK Penjaminan Kualitas'!$R$6:$R$676)),"")</f>
        <v/>
      </c>
      <c r="L27" s="63">
        <f>IFERROR(SUMIFS('KK Penjaminan Kualitas'!$R$6:$R$676,'KK Penjaminan Kualitas'!$T$6:$T$676,$S27,'KK Penjaminan Kualitas'!$E$6:$E$676,"C")/SUMPRODUCT(('KK Penjaminan Kualitas'!$T$6:$T$676=$S27)*('KK Penjaminan Kualitas'!$E$6:$E$676="C")*ISNUMBER('KK Penjaminan Kualitas'!$R$6:$R$676)),"")</f>
        <v/>
      </c>
      <c r="M27" s="63">
        <f>IFERROR(SUMIFS('KK Penjaminan Kualitas'!$R$6:$R$676,'KK Penjaminan Kualitas'!$T$6:$T$676,$S27,'KK Penjaminan Kualitas'!$E$6:$E$676,"B")/SUMPRODUCT(('KK Penjaminan Kualitas'!$T$6:$T$676=$S27)*('KK Penjaminan Kualitas'!$E$6:$E$676="B")*ISNUMBER('KK Penjaminan Kualitas'!$R$6:$R$676)),"")</f>
        <v/>
      </c>
      <c r="N27" s="63">
        <f>IFERROR(SUMIFS('KK Penjaminan Kualitas'!$R$6:$R$676,'KK Penjaminan Kualitas'!$T$6:$T$676,$S27,'KK Penjaminan Kualitas'!$E$6:$E$676,"A")/SUMPRODUCT(('KK Penjaminan Kualitas'!$T$6:$T$676=$S27)*('KK Penjaminan Kualitas'!$E$6:$E$676="A")*ISNUMBER('KK Penjaminan Kualitas'!$R$6:$R$676)),"")</f>
        <v/>
      </c>
      <c r="O27" s="38">
        <f>IF(H27=0,"",SUMIFS('KK Penjaminan Kualitas'!$R$6:$R$676,'KK Penjaminan Kualitas'!$T$6:$T$676,$S27)/H27)</f>
        <v/>
      </c>
      <c r="P27" s="30">
        <f>IF(Q27="","",IF(Q27=0,"&lt; E",MID("EDCBA",Q27,1)))</f>
        <v/>
      </c>
      <c r="Q27" s="30">
        <f>IF(H27=0,"",IF(NOT(AND(ISNUMBER(J27),J27&gt;=Petunjuk!$C$14)),0,IF(NOT(AND(ISNUMBER(K27),K27&gt;=Petunjuk!$C$14)),1,IF(NOT(AND(ISNUMBER(L27),L27&gt;=Petunjuk!$C$14)),2,IF(NOT(AND(ISNUMBER(M27),M27&gt;=Petunjuk!$C$14)),3,IF(NOT(AND(ISNUMBER(N27),N27&gt;=Petunjuk!$C$14)),4,5))))))</f>
        <v/>
      </c>
      <c r="R27" s="37">
        <f>IF(Q27="","Belum dinilai",IF(Q27=5,"Seluruh grade terpenuhi","Lengkapi evidence Grade "&amp;MID("EDCBA",Q27+1,1)&amp;IF(I27&gt;0," ("&amp;I27&amp;" item belum dinilai)","")))</f>
        <v/>
      </c>
      <c r="S27" s="39" t="inlineStr">
        <is>
          <t>3.1-1</t>
        </is>
      </c>
    </row>
    <row r="28" ht="34.9" customHeight="1">
      <c r="A28" s="28" t="n">
        <v>24</v>
      </c>
      <c r="B28" s="28" t="inlineStr">
        <is>
          <t>3.2</t>
        </is>
      </c>
      <c r="C28" s="37" t="inlineStr">
        <is>
          <t>Pembinaan SDM</t>
        </is>
      </c>
      <c r="D28" s="28" t="n">
        <v>1</v>
      </c>
      <c r="E28" s="37">
        <f>IFERROR(INDEX(FILTER('KK Penjaminan Kualitas'!$D$6:$D$676,'KK Penjaminan Kualitas'!$A$6:$A$676=B28,'KK Penjaminan Kualitas'!$C$6:$C$676=D28),1),"")</f>
        <v/>
      </c>
      <c r="F28" s="28">
        <f>COUNTIFS('KK Penjaminan Kualitas'!$T$6:$T$676,$S28,'KK Penjaminan Kualitas'!$J$6:$J$676,"&lt;&gt;")</f>
        <v/>
      </c>
      <c r="G28" s="28">
        <f>COUNTIFS('KK Penjaminan Kualitas'!$T$6:$T$676,$S28,'KK Penjaminan Kualitas'!$L$6:$L$676,"N/A")</f>
        <v/>
      </c>
      <c r="H28" s="28">
        <f>SUMPRODUCT(('KK Penjaminan Kualitas'!$T$6:$T$676=$S28)*ISNUMBER('KK Penjaminan Kualitas'!$R$6:$R$676))</f>
        <v/>
      </c>
      <c r="I28" s="28">
        <f>F28-G28-H28</f>
        <v/>
      </c>
      <c r="J28" s="63">
        <f>IFERROR(SUMIFS('KK Penjaminan Kualitas'!$R$6:$R$676,'KK Penjaminan Kualitas'!$T$6:$T$676,$S28,'KK Penjaminan Kualitas'!$E$6:$E$676,"E")/SUMPRODUCT(('KK Penjaminan Kualitas'!$T$6:$T$676=$S28)*('KK Penjaminan Kualitas'!$E$6:$E$676="E")*ISNUMBER('KK Penjaminan Kualitas'!$R$6:$R$676)),"")</f>
        <v/>
      </c>
      <c r="K28" s="63">
        <f>IFERROR(SUMIFS('KK Penjaminan Kualitas'!$R$6:$R$676,'KK Penjaminan Kualitas'!$T$6:$T$676,$S28,'KK Penjaminan Kualitas'!$E$6:$E$676,"D")/SUMPRODUCT(('KK Penjaminan Kualitas'!$T$6:$T$676=$S28)*('KK Penjaminan Kualitas'!$E$6:$E$676="D")*ISNUMBER('KK Penjaminan Kualitas'!$R$6:$R$676)),"")</f>
        <v/>
      </c>
      <c r="L28" s="63">
        <f>IFERROR(SUMIFS('KK Penjaminan Kualitas'!$R$6:$R$676,'KK Penjaminan Kualitas'!$T$6:$T$676,$S28,'KK Penjaminan Kualitas'!$E$6:$E$676,"C")/SUMPRODUCT(('KK Penjaminan Kualitas'!$T$6:$T$676=$S28)*('KK Penjaminan Kualitas'!$E$6:$E$676="C")*ISNUMBER('KK Penjaminan Kualitas'!$R$6:$R$676)),"")</f>
        <v/>
      </c>
      <c r="M28" s="63">
        <f>IFERROR(SUMIFS('KK Penjaminan Kualitas'!$R$6:$R$676,'KK Penjaminan Kualitas'!$T$6:$T$676,$S28,'KK Penjaminan Kualitas'!$E$6:$E$676,"B")/SUMPRODUCT(('KK Penjaminan Kualitas'!$T$6:$T$676=$S28)*('KK Penjaminan Kualitas'!$E$6:$E$676="B")*ISNUMBER('KK Penjaminan Kualitas'!$R$6:$R$676)),"")</f>
        <v/>
      </c>
      <c r="N28" s="63">
        <f>IFERROR(SUMIFS('KK Penjaminan Kualitas'!$R$6:$R$676,'KK Penjaminan Kualitas'!$T$6:$T$676,$S28,'KK Penjaminan Kualitas'!$E$6:$E$676,"A")/SUMPRODUCT(('KK Penjaminan Kualitas'!$T$6:$T$676=$S28)*('KK Penjaminan Kualitas'!$E$6:$E$676="A")*ISNUMBER('KK Penjaminan Kualitas'!$R$6:$R$676)),"")</f>
        <v/>
      </c>
      <c r="O28" s="38">
        <f>IF(H28=0,"",SUMIFS('KK Penjaminan Kualitas'!$R$6:$R$676,'KK Penjaminan Kualitas'!$T$6:$T$676,$S28)/H28)</f>
        <v/>
      </c>
      <c r="P28" s="30">
        <f>IF(Q28="","",IF(Q28=0,"&lt; E",MID("EDCBA",Q28,1)))</f>
        <v/>
      </c>
      <c r="Q28" s="30">
        <f>IF(H28=0,"",IF(NOT(AND(ISNUMBER(J28),J28&gt;=Petunjuk!$C$14)),0,IF(NOT(AND(ISNUMBER(K28),K28&gt;=Petunjuk!$C$14)),1,IF(NOT(AND(ISNUMBER(L28),L28&gt;=Petunjuk!$C$14)),2,IF(NOT(AND(ISNUMBER(M28),M28&gt;=Petunjuk!$C$14)),3,IF(NOT(AND(ISNUMBER(N28),N28&gt;=Petunjuk!$C$14)),4,5))))))</f>
        <v/>
      </c>
      <c r="R28" s="37">
        <f>IF(Q28="","Belum dinilai",IF(Q28=5,"Seluruh grade terpenuhi","Lengkapi evidence Grade "&amp;MID("EDCBA",Q28+1,1)&amp;IF(I28&gt;0," ("&amp;I28&amp;" item belum dinilai)","")))</f>
        <v/>
      </c>
      <c r="S28" s="39" t="inlineStr">
        <is>
          <t>3.2-1</t>
        </is>
      </c>
    </row>
    <row r="29" ht="46.5" customHeight="1">
      <c r="A29" s="28" t="n">
        <v>25</v>
      </c>
      <c r="B29" s="28" t="inlineStr">
        <is>
          <t>3.3</t>
        </is>
      </c>
      <c r="C29" s="37" t="inlineStr">
        <is>
          <t>Pengendalian atas Pengelolaan Sistem Informasi</t>
        </is>
      </c>
      <c r="D29" s="28" t="n">
        <v>1</v>
      </c>
      <c r="E29" s="37">
        <f>IFERROR(INDEX(FILTER('KK Penjaminan Kualitas'!$D$6:$D$676,'KK Penjaminan Kualitas'!$A$6:$A$676=B29,'KK Penjaminan Kualitas'!$C$6:$C$676=D29),1),"")</f>
        <v/>
      </c>
      <c r="F29" s="28">
        <f>COUNTIFS('KK Penjaminan Kualitas'!$T$6:$T$676,$S29,'KK Penjaminan Kualitas'!$J$6:$J$676,"&lt;&gt;")</f>
        <v/>
      </c>
      <c r="G29" s="28">
        <f>COUNTIFS('KK Penjaminan Kualitas'!$T$6:$T$676,$S29,'KK Penjaminan Kualitas'!$L$6:$L$676,"N/A")</f>
        <v/>
      </c>
      <c r="H29" s="28">
        <f>SUMPRODUCT(('KK Penjaminan Kualitas'!$T$6:$T$676=$S29)*ISNUMBER('KK Penjaminan Kualitas'!$R$6:$R$676))</f>
        <v/>
      </c>
      <c r="I29" s="28">
        <f>F29-G29-H29</f>
        <v/>
      </c>
      <c r="J29" s="63">
        <f>IFERROR(SUMIFS('KK Penjaminan Kualitas'!$R$6:$R$676,'KK Penjaminan Kualitas'!$T$6:$T$676,$S29,'KK Penjaminan Kualitas'!$E$6:$E$676,"E")/SUMPRODUCT(('KK Penjaminan Kualitas'!$T$6:$T$676=$S29)*('KK Penjaminan Kualitas'!$E$6:$E$676="E")*ISNUMBER('KK Penjaminan Kualitas'!$R$6:$R$676)),"")</f>
        <v/>
      </c>
      <c r="K29" s="63">
        <f>IFERROR(SUMIFS('KK Penjaminan Kualitas'!$R$6:$R$676,'KK Penjaminan Kualitas'!$T$6:$T$676,$S29,'KK Penjaminan Kualitas'!$E$6:$E$676,"D")/SUMPRODUCT(('KK Penjaminan Kualitas'!$T$6:$T$676=$S29)*('KK Penjaminan Kualitas'!$E$6:$E$676="D")*ISNUMBER('KK Penjaminan Kualitas'!$R$6:$R$676)),"")</f>
        <v/>
      </c>
      <c r="L29" s="63">
        <f>IFERROR(SUMIFS('KK Penjaminan Kualitas'!$R$6:$R$676,'KK Penjaminan Kualitas'!$T$6:$T$676,$S29,'KK Penjaminan Kualitas'!$E$6:$E$676,"C")/SUMPRODUCT(('KK Penjaminan Kualitas'!$T$6:$T$676=$S29)*('KK Penjaminan Kualitas'!$E$6:$E$676="C")*ISNUMBER('KK Penjaminan Kualitas'!$R$6:$R$676)),"")</f>
        <v/>
      </c>
      <c r="M29" s="63">
        <f>IFERROR(SUMIFS('KK Penjaminan Kualitas'!$R$6:$R$676,'KK Penjaminan Kualitas'!$T$6:$T$676,$S29,'KK Penjaminan Kualitas'!$E$6:$E$676,"B")/SUMPRODUCT(('KK Penjaminan Kualitas'!$T$6:$T$676=$S29)*('KK Penjaminan Kualitas'!$E$6:$E$676="B")*ISNUMBER('KK Penjaminan Kualitas'!$R$6:$R$676)),"")</f>
        <v/>
      </c>
      <c r="N29" s="63">
        <f>IFERROR(SUMIFS('KK Penjaminan Kualitas'!$R$6:$R$676,'KK Penjaminan Kualitas'!$T$6:$T$676,$S29,'KK Penjaminan Kualitas'!$E$6:$E$676,"A")/SUMPRODUCT(('KK Penjaminan Kualitas'!$T$6:$T$676=$S29)*('KK Penjaminan Kualitas'!$E$6:$E$676="A")*ISNUMBER('KK Penjaminan Kualitas'!$R$6:$R$676)),"")</f>
        <v/>
      </c>
      <c r="O29" s="38">
        <f>IF(H29=0,"",SUMIFS('KK Penjaminan Kualitas'!$R$6:$R$676,'KK Penjaminan Kualitas'!$T$6:$T$676,$S29)/H29)</f>
        <v/>
      </c>
      <c r="P29" s="30">
        <f>IF(Q29="","",IF(Q29=0,"&lt; E",MID("EDCBA",Q29,1)))</f>
        <v/>
      </c>
      <c r="Q29" s="30">
        <f>IF(H29=0,"",IF(NOT(AND(ISNUMBER(J29),J29&gt;=Petunjuk!$C$14)),0,IF(NOT(AND(ISNUMBER(K29),K29&gt;=Petunjuk!$C$14)),1,IF(NOT(AND(ISNUMBER(L29),L29&gt;=Petunjuk!$C$14)),2,IF(NOT(AND(ISNUMBER(M29),M29&gt;=Petunjuk!$C$14)),3,IF(NOT(AND(ISNUMBER(N29),N29&gt;=Petunjuk!$C$14)),4,5))))))</f>
        <v/>
      </c>
      <c r="R29" s="37">
        <f>IF(Q29="","Belum dinilai",IF(Q29=5,"Seluruh grade terpenuhi","Lengkapi evidence Grade "&amp;MID("EDCBA",Q29+1,1)&amp;IF(I29&gt;0," ("&amp;I29&amp;" item belum dinilai)","")))</f>
        <v/>
      </c>
      <c r="S29" s="39" t="inlineStr">
        <is>
          <t>3.3-1</t>
        </is>
      </c>
    </row>
    <row r="30" ht="34.9" customHeight="1">
      <c r="A30" s="28" t="n">
        <v>26</v>
      </c>
      <c r="B30" s="28" t="inlineStr">
        <is>
          <t>3.4</t>
        </is>
      </c>
      <c r="C30" s="37" t="inlineStr">
        <is>
          <t>Pengendalian Fisik atas Aset</t>
        </is>
      </c>
      <c r="D30" s="28" t="n">
        <v>1</v>
      </c>
      <c r="E30" s="37">
        <f>IFERROR(INDEX(FILTER('KK Penjaminan Kualitas'!$D$6:$D$676,'KK Penjaminan Kualitas'!$A$6:$A$676=B30,'KK Penjaminan Kualitas'!$C$6:$C$676=D30),1),"")</f>
        <v/>
      </c>
      <c r="F30" s="28">
        <f>COUNTIFS('KK Penjaminan Kualitas'!$T$6:$T$676,$S30,'KK Penjaminan Kualitas'!$J$6:$J$676,"&lt;&gt;")</f>
        <v/>
      </c>
      <c r="G30" s="28">
        <f>COUNTIFS('KK Penjaminan Kualitas'!$T$6:$T$676,$S30,'KK Penjaminan Kualitas'!$L$6:$L$676,"N/A")</f>
        <v/>
      </c>
      <c r="H30" s="28">
        <f>SUMPRODUCT(('KK Penjaminan Kualitas'!$T$6:$T$676=$S30)*ISNUMBER('KK Penjaminan Kualitas'!$R$6:$R$676))</f>
        <v/>
      </c>
      <c r="I30" s="28">
        <f>F30-G30-H30</f>
        <v/>
      </c>
      <c r="J30" s="63">
        <f>IFERROR(SUMIFS('KK Penjaminan Kualitas'!$R$6:$R$676,'KK Penjaminan Kualitas'!$T$6:$T$676,$S30,'KK Penjaminan Kualitas'!$E$6:$E$676,"E")/SUMPRODUCT(('KK Penjaminan Kualitas'!$T$6:$T$676=$S30)*('KK Penjaminan Kualitas'!$E$6:$E$676="E")*ISNUMBER('KK Penjaminan Kualitas'!$R$6:$R$676)),"")</f>
        <v/>
      </c>
      <c r="K30" s="63">
        <f>IFERROR(SUMIFS('KK Penjaminan Kualitas'!$R$6:$R$676,'KK Penjaminan Kualitas'!$T$6:$T$676,$S30,'KK Penjaminan Kualitas'!$E$6:$E$676,"D")/SUMPRODUCT(('KK Penjaminan Kualitas'!$T$6:$T$676=$S30)*('KK Penjaminan Kualitas'!$E$6:$E$676="D")*ISNUMBER('KK Penjaminan Kualitas'!$R$6:$R$676)),"")</f>
        <v/>
      </c>
      <c r="L30" s="63">
        <f>IFERROR(SUMIFS('KK Penjaminan Kualitas'!$R$6:$R$676,'KK Penjaminan Kualitas'!$T$6:$T$676,$S30,'KK Penjaminan Kualitas'!$E$6:$E$676,"C")/SUMPRODUCT(('KK Penjaminan Kualitas'!$T$6:$T$676=$S30)*('KK Penjaminan Kualitas'!$E$6:$E$676="C")*ISNUMBER('KK Penjaminan Kualitas'!$R$6:$R$676)),"")</f>
        <v/>
      </c>
      <c r="M30" s="63">
        <f>IFERROR(SUMIFS('KK Penjaminan Kualitas'!$R$6:$R$676,'KK Penjaminan Kualitas'!$T$6:$T$676,$S30,'KK Penjaminan Kualitas'!$E$6:$E$676,"B")/SUMPRODUCT(('KK Penjaminan Kualitas'!$T$6:$T$676=$S30)*('KK Penjaminan Kualitas'!$E$6:$E$676="B")*ISNUMBER('KK Penjaminan Kualitas'!$R$6:$R$676)),"")</f>
        <v/>
      </c>
      <c r="N30" s="63">
        <f>IFERROR(SUMIFS('KK Penjaminan Kualitas'!$R$6:$R$676,'KK Penjaminan Kualitas'!$T$6:$T$676,$S30,'KK Penjaminan Kualitas'!$E$6:$E$676,"A")/SUMPRODUCT(('KK Penjaminan Kualitas'!$T$6:$T$676=$S30)*('KK Penjaminan Kualitas'!$E$6:$E$676="A")*ISNUMBER('KK Penjaminan Kualitas'!$R$6:$R$676)),"")</f>
        <v/>
      </c>
      <c r="O30" s="38">
        <f>IF(H30=0,"",SUMIFS('KK Penjaminan Kualitas'!$R$6:$R$676,'KK Penjaminan Kualitas'!$T$6:$T$676,$S30)/H30)</f>
        <v/>
      </c>
      <c r="P30" s="30">
        <f>IF(Q30="","",IF(Q30=0,"&lt; E",MID("EDCBA",Q30,1)))</f>
        <v/>
      </c>
      <c r="Q30" s="30">
        <f>IF(H30=0,"",IF(NOT(AND(ISNUMBER(J30),J30&gt;=Petunjuk!$C$14)),0,IF(NOT(AND(ISNUMBER(K30),K30&gt;=Petunjuk!$C$14)),1,IF(NOT(AND(ISNUMBER(L30),L30&gt;=Petunjuk!$C$14)),2,IF(NOT(AND(ISNUMBER(M30),M30&gt;=Petunjuk!$C$14)),3,IF(NOT(AND(ISNUMBER(N30),N30&gt;=Petunjuk!$C$14)),4,5))))))</f>
        <v/>
      </c>
      <c r="R30" s="37">
        <f>IF(Q30="","Belum dinilai",IF(Q30=5,"Seluruh grade terpenuhi","Lengkapi evidence Grade "&amp;MID("EDCBA",Q30+1,1)&amp;IF(I30&gt;0," ("&amp;I30&amp;" item belum dinilai)","")))</f>
        <v/>
      </c>
      <c r="S30" s="39" t="inlineStr">
        <is>
          <t>3.4-1</t>
        </is>
      </c>
    </row>
    <row r="31" ht="58.15" customHeight="1">
      <c r="A31" s="28" t="n">
        <v>27</v>
      </c>
      <c r="B31" s="28" t="inlineStr">
        <is>
          <t>3.5</t>
        </is>
      </c>
      <c r="C31" s="37" t="inlineStr">
        <is>
          <t>Penetapan dan Reviu atas Indikator dan Ukuran Kinerja</t>
        </is>
      </c>
      <c r="D31" s="28" t="n">
        <v>1</v>
      </c>
      <c r="E31" s="37">
        <f>IFERROR(INDEX(FILTER('KK Penjaminan Kualitas'!$D$6:$D$676,'KK Penjaminan Kualitas'!$A$6:$A$676=B31,'KK Penjaminan Kualitas'!$C$6:$C$676=D31),1),"")</f>
        <v/>
      </c>
      <c r="F31" s="28">
        <f>COUNTIFS('KK Penjaminan Kualitas'!$T$6:$T$676,$S31,'KK Penjaminan Kualitas'!$J$6:$J$676,"&lt;&gt;")</f>
        <v/>
      </c>
      <c r="G31" s="28">
        <f>COUNTIFS('KK Penjaminan Kualitas'!$T$6:$T$676,$S31,'KK Penjaminan Kualitas'!$L$6:$L$676,"N/A")</f>
        <v/>
      </c>
      <c r="H31" s="28">
        <f>SUMPRODUCT(('KK Penjaminan Kualitas'!$T$6:$T$676=$S31)*ISNUMBER('KK Penjaminan Kualitas'!$R$6:$R$676))</f>
        <v/>
      </c>
      <c r="I31" s="28">
        <f>F31-G31-H31</f>
        <v/>
      </c>
      <c r="J31" s="63">
        <f>IFERROR(SUMIFS('KK Penjaminan Kualitas'!$R$6:$R$676,'KK Penjaminan Kualitas'!$T$6:$T$676,$S31,'KK Penjaminan Kualitas'!$E$6:$E$676,"E")/SUMPRODUCT(('KK Penjaminan Kualitas'!$T$6:$T$676=$S31)*('KK Penjaminan Kualitas'!$E$6:$E$676="E")*ISNUMBER('KK Penjaminan Kualitas'!$R$6:$R$676)),"")</f>
        <v/>
      </c>
      <c r="K31" s="63">
        <f>IFERROR(SUMIFS('KK Penjaminan Kualitas'!$R$6:$R$676,'KK Penjaminan Kualitas'!$T$6:$T$676,$S31,'KK Penjaminan Kualitas'!$E$6:$E$676,"D")/SUMPRODUCT(('KK Penjaminan Kualitas'!$T$6:$T$676=$S31)*('KK Penjaminan Kualitas'!$E$6:$E$676="D")*ISNUMBER('KK Penjaminan Kualitas'!$R$6:$R$676)),"")</f>
        <v/>
      </c>
      <c r="L31" s="63">
        <f>IFERROR(SUMIFS('KK Penjaminan Kualitas'!$R$6:$R$676,'KK Penjaminan Kualitas'!$T$6:$T$676,$S31,'KK Penjaminan Kualitas'!$E$6:$E$676,"C")/SUMPRODUCT(('KK Penjaminan Kualitas'!$T$6:$T$676=$S31)*('KK Penjaminan Kualitas'!$E$6:$E$676="C")*ISNUMBER('KK Penjaminan Kualitas'!$R$6:$R$676)),"")</f>
        <v/>
      </c>
      <c r="M31" s="63">
        <f>IFERROR(SUMIFS('KK Penjaminan Kualitas'!$R$6:$R$676,'KK Penjaminan Kualitas'!$T$6:$T$676,$S31,'KK Penjaminan Kualitas'!$E$6:$E$676,"B")/SUMPRODUCT(('KK Penjaminan Kualitas'!$T$6:$T$676=$S31)*('KK Penjaminan Kualitas'!$E$6:$E$676="B")*ISNUMBER('KK Penjaminan Kualitas'!$R$6:$R$676)),"")</f>
        <v/>
      </c>
      <c r="N31" s="63">
        <f>IFERROR(SUMIFS('KK Penjaminan Kualitas'!$R$6:$R$676,'KK Penjaminan Kualitas'!$T$6:$T$676,$S31,'KK Penjaminan Kualitas'!$E$6:$E$676,"A")/SUMPRODUCT(('KK Penjaminan Kualitas'!$T$6:$T$676=$S31)*('KK Penjaminan Kualitas'!$E$6:$E$676="A")*ISNUMBER('KK Penjaminan Kualitas'!$R$6:$R$676)),"")</f>
        <v/>
      </c>
      <c r="O31" s="38">
        <f>IF(H31=0,"",SUMIFS('KK Penjaminan Kualitas'!$R$6:$R$676,'KK Penjaminan Kualitas'!$T$6:$T$676,$S31)/H31)</f>
        <v/>
      </c>
      <c r="P31" s="30">
        <f>IF(Q31="","",IF(Q31=0,"&lt; E",MID("EDCBA",Q31,1)))</f>
        <v/>
      </c>
      <c r="Q31" s="30">
        <f>IF(H31=0,"",IF(NOT(AND(ISNUMBER(J31),J31&gt;=Petunjuk!$C$14)),0,IF(NOT(AND(ISNUMBER(K31),K31&gt;=Petunjuk!$C$14)),1,IF(NOT(AND(ISNUMBER(L31),L31&gt;=Petunjuk!$C$14)),2,IF(NOT(AND(ISNUMBER(M31),M31&gt;=Petunjuk!$C$14)),3,IF(NOT(AND(ISNUMBER(N31),N31&gt;=Petunjuk!$C$14)),4,5))))))</f>
        <v/>
      </c>
      <c r="R31" s="37">
        <f>IF(Q31="","Belum dinilai",IF(Q31=5,"Seluruh grade terpenuhi","Lengkapi evidence Grade "&amp;MID("EDCBA",Q31+1,1)&amp;IF(I31&gt;0," ("&amp;I31&amp;" item belum dinilai)","")))</f>
        <v/>
      </c>
      <c r="S31" s="39" t="inlineStr">
        <is>
          <t>3.5-1</t>
        </is>
      </c>
    </row>
    <row r="32" ht="34.9" customHeight="1">
      <c r="A32" s="28" t="n">
        <v>28</v>
      </c>
      <c r="B32" s="28" t="inlineStr">
        <is>
          <t>3.6</t>
        </is>
      </c>
      <c r="C32" s="37" t="inlineStr">
        <is>
          <t>Pemisahan Fungsi</t>
        </is>
      </c>
      <c r="D32" s="28" t="n">
        <v>1</v>
      </c>
      <c r="E32" s="37">
        <f>IFERROR(INDEX(FILTER('KK Penjaminan Kualitas'!$D$6:$D$676,'KK Penjaminan Kualitas'!$A$6:$A$676=B32,'KK Penjaminan Kualitas'!$C$6:$C$676=D32),1),"")</f>
        <v/>
      </c>
      <c r="F32" s="28">
        <f>COUNTIFS('KK Penjaminan Kualitas'!$T$6:$T$676,$S32,'KK Penjaminan Kualitas'!$J$6:$J$676,"&lt;&gt;")</f>
        <v/>
      </c>
      <c r="G32" s="28">
        <f>COUNTIFS('KK Penjaminan Kualitas'!$T$6:$T$676,$S32,'KK Penjaminan Kualitas'!$L$6:$L$676,"N/A")</f>
        <v/>
      </c>
      <c r="H32" s="28">
        <f>SUMPRODUCT(('KK Penjaminan Kualitas'!$T$6:$T$676=$S32)*ISNUMBER('KK Penjaminan Kualitas'!$R$6:$R$676))</f>
        <v/>
      </c>
      <c r="I32" s="28">
        <f>F32-G32-H32</f>
        <v/>
      </c>
      <c r="J32" s="63">
        <f>IFERROR(SUMIFS('KK Penjaminan Kualitas'!$R$6:$R$676,'KK Penjaminan Kualitas'!$T$6:$T$676,$S32,'KK Penjaminan Kualitas'!$E$6:$E$676,"E")/SUMPRODUCT(('KK Penjaminan Kualitas'!$T$6:$T$676=$S32)*('KK Penjaminan Kualitas'!$E$6:$E$676="E")*ISNUMBER('KK Penjaminan Kualitas'!$R$6:$R$676)),"")</f>
        <v/>
      </c>
      <c r="K32" s="63">
        <f>IFERROR(SUMIFS('KK Penjaminan Kualitas'!$R$6:$R$676,'KK Penjaminan Kualitas'!$T$6:$T$676,$S32,'KK Penjaminan Kualitas'!$E$6:$E$676,"D")/SUMPRODUCT(('KK Penjaminan Kualitas'!$T$6:$T$676=$S32)*('KK Penjaminan Kualitas'!$E$6:$E$676="D")*ISNUMBER('KK Penjaminan Kualitas'!$R$6:$R$676)),"")</f>
        <v/>
      </c>
      <c r="L32" s="63">
        <f>IFERROR(SUMIFS('KK Penjaminan Kualitas'!$R$6:$R$676,'KK Penjaminan Kualitas'!$T$6:$T$676,$S32,'KK Penjaminan Kualitas'!$E$6:$E$676,"C")/SUMPRODUCT(('KK Penjaminan Kualitas'!$T$6:$T$676=$S32)*('KK Penjaminan Kualitas'!$E$6:$E$676="C")*ISNUMBER('KK Penjaminan Kualitas'!$R$6:$R$676)),"")</f>
        <v/>
      </c>
      <c r="M32" s="63">
        <f>IFERROR(SUMIFS('KK Penjaminan Kualitas'!$R$6:$R$676,'KK Penjaminan Kualitas'!$T$6:$T$676,$S32,'KK Penjaminan Kualitas'!$E$6:$E$676,"B")/SUMPRODUCT(('KK Penjaminan Kualitas'!$T$6:$T$676=$S32)*('KK Penjaminan Kualitas'!$E$6:$E$676="B")*ISNUMBER('KK Penjaminan Kualitas'!$R$6:$R$676)),"")</f>
        <v/>
      </c>
      <c r="N32" s="63">
        <f>IFERROR(SUMIFS('KK Penjaminan Kualitas'!$R$6:$R$676,'KK Penjaminan Kualitas'!$T$6:$T$676,$S32,'KK Penjaminan Kualitas'!$E$6:$E$676,"A")/SUMPRODUCT(('KK Penjaminan Kualitas'!$T$6:$T$676=$S32)*('KK Penjaminan Kualitas'!$E$6:$E$676="A")*ISNUMBER('KK Penjaminan Kualitas'!$R$6:$R$676)),"")</f>
        <v/>
      </c>
      <c r="O32" s="38">
        <f>IF(H32=0,"",SUMIFS('KK Penjaminan Kualitas'!$R$6:$R$676,'KK Penjaminan Kualitas'!$T$6:$T$676,$S32)/H32)</f>
        <v/>
      </c>
      <c r="P32" s="30">
        <f>IF(Q32="","",IF(Q32=0,"&lt; E",MID("EDCBA",Q32,1)))</f>
        <v/>
      </c>
      <c r="Q32" s="30">
        <f>IF(H32=0,"",IF(NOT(AND(ISNUMBER(J32),J32&gt;=Petunjuk!$C$14)),0,IF(NOT(AND(ISNUMBER(K32),K32&gt;=Petunjuk!$C$14)),1,IF(NOT(AND(ISNUMBER(L32),L32&gt;=Petunjuk!$C$14)),2,IF(NOT(AND(ISNUMBER(M32),M32&gt;=Petunjuk!$C$14)),3,IF(NOT(AND(ISNUMBER(N32),N32&gt;=Petunjuk!$C$14)),4,5))))))</f>
        <v/>
      </c>
      <c r="R32" s="37">
        <f>IF(Q32="","Belum dinilai",IF(Q32=5,"Seluruh grade terpenuhi","Lengkapi evidence Grade "&amp;MID("EDCBA",Q32+1,1)&amp;IF(I32&gt;0," ("&amp;I32&amp;" item belum dinilai)","")))</f>
        <v/>
      </c>
      <c r="S32" s="39" t="inlineStr">
        <is>
          <t>3.6-1</t>
        </is>
      </c>
    </row>
    <row r="33" ht="46.5" customHeight="1">
      <c r="A33" s="28" t="n">
        <v>29</v>
      </c>
      <c r="B33" s="28" t="inlineStr">
        <is>
          <t>3.7</t>
        </is>
      </c>
      <c r="C33" s="37" t="inlineStr">
        <is>
          <t>Otorisasi atas Transaksi dan Kejadian yang Penting</t>
        </is>
      </c>
      <c r="D33" s="28" t="n">
        <v>1</v>
      </c>
      <c r="E33" s="37">
        <f>IFERROR(INDEX(FILTER('KK Penjaminan Kualitas'!$D$6:$D$676,'KK Penjaminan Kualitas'!$A$6:$A$676=B33,'KK Penjaminan Kualitas'!$C$6:$C$676=D33),1),"")</f>
        <v/>
      </c>
      <c r="F33" s="28">
        <f>COUNTIFS('KK Penjaminan Kualitas'!$T$6:$T$676,$S33,'KK Penjaminan Kualitas'!$J$6:$J$676,"&lt;&gt;")</f>
        <v/>
      </c>
      <c r="G33" s="28">
        <f>COUNTIFS('KK Penjaminan Kualitas'!$T$6:$T$676,$S33,'KK Penjaminan Kualitas'!$L$6:$L$676,"N/A")</f>
        <v/>
      </c>
      <c r="H33" s="28">
        <f>SUMPRODUCT(('KK Penjaminan Kualitas'!$T$6:$T$676=$S33)*ISNUMBER('KK Penjaminan Kualitas'!$R$6:$R$676))</f>
        <v/>
      </c>
      <c r="I33" s="28">
        <f>F33-G33-H33</f>
        <v/>
      </c>
      <c r="J33" s="63">
        <f>IFERROR(SUMIFS('KK Penjaminan Kualitas'!$R$6:$R$676,'KK Penjaminan Kualitas'!$T$6:$T$676,$S33,'KK Penjaminan Kualitas'!$E$6:$E$676,"E")/SUMPRODUCT(('KK Penjaminan Kualitas'!$T$6:$T$676=$S33)*('KK Penjaminan Kualitas'!$E$6:$E$676="E")*ISNUMBER('KK Penjaminan Kualitas'!$R$6:$R$676)),"")</f>
        <v/>
      </c>
      <c r="K33" s="63">
        <f>IFERROR(SUMIFS('KK Penjaminan Kualitas'!$R$6:$R$676,'KK Penjaminan Kualitas'!$T$6:$T$676,$S33,'KK Penjaminan Kualitas'!$E$6:$E$676,"D")/SUMPRODUCT(('KK Penjaminan Kualitas'!$T$6:$T$676=$S33)*('KK Penjaminan Kualitas'!$E$6:$E$676="D")*ISNUMBER('KK Penjaminan Kualitas'!$R$6:$R$676)),"")</f>
        <v/>
      </c>
      <c r="L33" s="63">
        <f>IFERROR(SUMIFS('KK Penjaminan Kualitas'!$R$6:$R$676,'KK Penjaminan Kualitas'!$T$6:$T$676,$S33,'KK Penjaminan Kualitas'!$E$6:$E$676,"C")/SUMPRODUCT(('KK Penjaminan Kualitas'!$T$6:$T$676=$S33)*('KK Penjaminan Kualitas'!$E$6:$E$676="C")*ISNUMBER('KK Penjaminan Kualitas'!$R$6:$R$676)),"")</f>
        <v/>
      </c>
      <c r="M33" s="63">
        <f>IFERROR(SUMIFS('KK Penjaminan Kualitas'!$R$6:$R$676,'KK Penjaminan Kualitas'!$T$6:$T$676,$S33,'KK Penjaminan Kualitas'!$E$6:$E$676,"B")/SUMPRODUCT(('KK Penjaminan Kualitas'!$T$6:$T$676=$S33)*('KK Penjaminan Kualitas'!$E$6:$E$676="B")*ISNUMBER('KK Penjaminan Kualitas'!$R$6:$R$676)),"")</f>
        <v/>
      </c>
      <c r="N33" s="63">
        <f>IFERROR(SUMIFS('KK Penjaminan Kualitas'!$R$6:$R$676,'KK Penjaminan Kualitas'!$T$6:$T$676,$S33,'KK Penjaminan Kualitas'!$E$6:$E$676,"A")/SUMPRODUCT(('KK Penjaminan Kualitas'!$T$6:$T$676=$S33)*('KK Penjaminan Kualitas'!$E$6:$E$676="A")*ISNUMBER('KK Penjaminan Kualitas'!$R$6:$R$676)),"")</f>
        <v/>
      </c>
      <c r="O33" s="38">
        <f>IF(H33=0,"",SUMIFS('KK Penjaminan Kualitas'!$R$6:$R$676,'KK Penjaminan Kualitas'!$T$6:$T$676,$S33)/H33)</f>
        <v/>
      </c>
      <c r="P33" s="30">
        <f>IF(Q33="","",IF(Q33=0,"&lt; E",MID("EDCBA",Q33,1)))</f>
        <v/>
      </c>
      <c r="Q33" s="30">
        <f>IF(H33=0,"",IF(NOT(AND(ISNUMBER(J33),J33&gt;=Petunjuk!$C$14)),0,IF(NOT(AND(ISNUMBER(K33),K33&gt;=Petunjuk!$C$14)),1,IF(NOT(AND(ISNUMBER(L33),L33&gt;=Petunjuk!$C$14)),2,IF(NOT(AND(ISNUMBER(M33),M33&gt;=Petunjuk!$C$14)),3,IF(NOT(AND(ISNUMBER(N33),N33&gt;=Petunjuk!$C$14)),4,5))))))</f>
        <v/>
      </c>
      <c r="R33" s="37">
        <f>IF(Q33="","Belum dinilai",IF(Q33=5,"Seluruh grade terpenuhi","Lengkapi evidence Grade "&amp;MID("EDCBA",Q33+1,1)&amp;IF(I33&gt;0," ("&amp;I33&amp;" item belum dinilai)","")))</f>
        <v/>
      </c>
      <c r="S33" s="39" t="inlineStr">
        <is>
          <t>3.7-1</t>
        </is>
      </c>
    </row>
    <row r="34" ht="46.5" customHeight="1">
      <c r="A34" s="28" t="n">
        <v>30</v>
      </c>
      <c r="B34" s="28" t="inlineStr">
        <is>
          <t>3.8</t>
        </is>
      </c>
      <c r="C34" s="37" t="inlineStr">
        <is>
          <t>Pencatatan yang Akurat dan Tepat Waktu atas Transaksi dan Kejadian</t>
        </is>
      </c>
      <c r="D34" s="28" t="n">
        <v>1</v>
      </c>
      <c r="E34" s="37">
        <f>IFERROR(INDEX(FILTER('KK Penjaminan Kualitas'!$D$6:$D$676,'KK Penjaminan Kualitas'!$A$6:$A$676=B34,'KK Penjaminan Kualitas'!$C$6:$C$676=D34),1),"")</f>
        <v/>
      </c>
      <c r="F34" s="28">
        <f>COUNTIFS('KK Penjaminan Kualitas'!$T$6:$T$676,$S34,'KK Penjaminan Kualitas'!$J$6:$J$676,"&lt;&gt;")</f>
        <v/>
      </c>
      <c r="G34" s="28">
        <f>COUNTIFS('KK Penjaminan Kualitas'!$T$6:$T$676,$S34,'KK Penjaminan Kualitas'!$L$6:$L$676,"N/A")</f>
        <v/>
      </c>
      <c r="H34" s="28">
        <f>SUMPRODUCT(('KK Penjaminan Kualitas'!$T$6:$T$676=$S34)*ISNUMBER('KK Penjaminan Kualitas'!$R$6:$R$676))</f>
        <v/>
      </c>
      <c r="I34" s="28">
        <f>F34-G34-H34</f>
        <v/>
      </c>
      <c r="J34" s="63">
        <f>IFERROR(SUMIFS('KK Penjaminan Kualitas'!$R$6:$R$676,'KK Penjaminan Kualitas'!$T$6:$T$676,$S34,'KK Penjaminan Kualitas'!$E$6:$E$676,"E")/SUMPRODUCT(('KK Penjaminan Kualitas'!$T$6:$T$676=$S34)*('KK Penjaminan Kualitas'!$E$6:$E$676="E")*ISNUMBER('KK Penjaminan Kualitas'!$R$6:$R$676)),"")</f>
        <v/>
      </c>
      <c r="K34" s="63">
        <f>IFERROR(SUMIFS('KK Penjaminan Kualitas'!$R$6:$R$676,'KK Penjaminan Kualitas'!$T$6:$T$676,$S34,'KK Penjaminan Kualitas'!$E$6:$E$676,"D")/SUMPRODUCT(('KK Penjaminan Kualitas'!$T$6:$T$676=$S34)*('KK Penjaminan Kualitas'!$E$6:$E$676="D")*ISNUMBER('KK Penjaminan Kualitas'!$R$6:$R$676)),"")</f>
        <v/>
      </c>
      <c r="L34" s="63">
        <f>IFERROR(SUMIFS('KK Penjaminan Kualitas'!$R$6:$R$676,'KK Penjaminan Kualitas'!$T$6:$T$676,$S34,'KK Penjaminan Kualitas'!$E$6:$E$676,"C")/SUMPRODUCT(('KK Penjaminan Kualitas'!$T$6:$T$676=$S34)*('KK Penjaminan Kualitas'!$E$6:$E$676="C")*ISNUMBER('KK Penjaminan Kualitas'!$R$6:$R$676)),"")</f>
        <v/>
      </c>
      <c r="M34" s="63">
        <f>IFERROR(SUMIFS('KK Penjaminan Kualitas'!$R$6:$R$676,'KK Penjaminan Kualitas'!$T$6:$T$676,$S34,'KK Penjaminan Kualitas'!$E$6:$E$676,"B")/SUMPRODUCT(('KK Penjaminan Kualitas'!$T$6:$T$676=$S34)*('KK Penjaminan Kualitas'!$E$6:$E$676="B")*ISNUMBER('KK Penjaminan Kualitas'!$R$6:$R$676)),"")</f>
        <v/>
      </c>
      <c r="N34" s="63">
        <f>IFERROR(SUMIFS('KK Penjaminan Kualitas'!$R$6:$R$676,'KK Penjaminan Kualitas'!$T$6:$T$676,$S34,'KK Penjaminan Kualitas'!$E$6:$E$676,"A")/SUMPRODUCT(('KK Penjaminan Kualitas'!$T$6:$T$676=$S34)*('KK Penjaminan Kualitas'!$E$6:$E$676="A")*ISNUMBER('KK Penjaminan Kualitas'!$R$6:$R$676)),"")</f>
        <v/>
      </c>
      <c r="O34" s="38">
        <f>IF(H34=0,"",SUMIFS('KK Penjaminan Kualitas'!$R$6:$R$676,'KK Penjaminan Kualitas'!$T$6:$T$676,$S34)/H34)</f>
        <v/>
      </c>
      <c r="P34" s="30">
        <f>IF(Q34="","",IF(Q34=0,"&lt; E",MID("EDCBA",Q34,1)))</f>
        <v/>
      </c>
      <c r="Q34" s="30">
        <f>IF(H34=0,"",IF(NOT(AND(ISNUMBER(J34),J34&gt;=Petunjuk!$C$14)),0,IF(NOT(AND(ISNUMBER(K34),K34&gt;=Petunjuk!$C$14)),1,IF(NOT(AND(ISNUMBER(L34),L34&gt;=Petunjuk!$C$14)),2,IF(NOT(AND(ISNUMBER(M34),M34&gt;=Petunjuk!$C$14)),3,IF(NOT(AND(ISNUMBER(N34),N34&gt;=Petunjuk!$C$14)),4,5))))))</f>
        <v/>
      </c>
      <c r="R34" s="37">
        <f>IF(Q34="","Belum dinilai",IF(Q34=5,"Seluruh grade terpenuhi","Lengkapi evidence Grade "&amp;MID("EDCBA",Q34+1,1)&amp;IF(I34&gt;0," ("&amp;I34&amp;" item belum dinilai)","")))</f>
        <v/>
      </c>
      <c r="S34" s="39" t="inlineStr">
        <is>
          <t>3.8-1</t>
        </is>
      </c>
    </row>
    <row r="35" ht="34.9" customHeight="1">
      <c r="A35" s="28" t="n">
        <v>31</v>
      </c>
      <c r="B35" s="28" t="inlineStr">
        <is>
          <t>3.9</t>
        </is>
      </c>
      <c r="C35" s="37" t="inlineStr">
        <is>
          <t>Pembatasan Akses atas Sumber Daya dan Pencatatannya</t>
        </is>
      </c>
      <c r="D35" s="28" t="n">
        <v>1</v>
      </c>
      <c r="E35" s="37">
        <f>IFERROR(INDEX(FILTER('KK Penjaminan Kualitas'!$D$6:$D$676,'KK Penjaminan Kualitas'!$A$6:$A$676=B35,'KK Penjaminan Kualitas'!$C$6:$C$676=D35),1),"")</f>
        <v/>
      </c>
      <c r="F35" s="28">
        <f>COUNTIFS('KK Penjaminan Kualitas'!$T$6:$T$676,$S35,'KK Penjaminan Kualitas'!$J$6:$J$676,"&lt;&gt;")</f>
        <v/>
      </c>
      <c r="G35" s="28">
        <f>COUNTIFS('KK Penjaminan Kualitas'!$T$6:$T$676,$S35,'KK Penjaminan Kualitas'!$L$6:$L$676,"N/A")</f>
        <v/>
      </c>
      <c r="H35" s="28">
        <f>SUMPRODUCT(('KK Penjaminan Kualitas'!$T$6:$T$676=$S35)*ISNUMBER('KK Penjaminan Kualitas'!$R$6:$R$676))</f>
        <v/>
      </c>
      <c r="I35" s="28">
        <f>F35-G35-H35</f>
        <v/>
      </c>
      <c r="J35" s="63">
        <f>IFERROR(SUMIFS('KK Penjaminan Kualitas'!$R$6:$R$676,'KK Penjaminan Kualitas'!$T$6:$T$676,$S35,'KK Penjaminan Kualitas'!$E$6:$E$676,"E")/SUMPRODUCT(('KK Penjaminan Kualitas'!$T$6:$T$676=$S35)*('KK Penjaminan Kualitas'!$E$6:$E$676="E")*ISNUMBER('KK Penjaminan Kualitas'!$R$6:$R$676)),"")</f>
        <v/>
      </c>
      <c r="K35" s="63">
        <f>IFERROR(SUMIFS('KK Penjaminan Kualitas'!$R$6:$R$676,'KK Penjaminan Kualitas'!$T$6:$T$676,$S35,'KK Penjaminan Kualitas'!$E$6:$E$676,"D")/SUMPRODUCT(('KK Penjaminan Kualitas'!$T$6:$T$676=$S35)*('KK Penjaminan Kualitas'!$E$6:$E$676="D")*ISNUMBER('KK Penjaminan Kualitas'!$R$6:$R$676)),"")</f>
        <v/>
      </c>
      <c r="L35" s="63">
        <f>IFERROR(SUMIFS('KK Penjaminan Kualitas'!$R$6:$R$676,'KK Penjaminan Kualitas'!$T$6:$T$676,$S35,'KK Penjaminan Kualitas'!$E$6:$E$676,"C")/SUMPRODUCT(('KK Penjaminan Kualitas'!$T$6:$T$676=$S35)*('KK Penjaminan Kualitas'!$E$6:$E$676="C")*ISNUMBER('KK Penjaminan Kualitas'!$R$6:$R$676)),"")</f>
        <v/>
      </c>
      <c r="M35" s="63">
        <f>IFERROR(SUMIFS('KK Penjaminan Kualitas'!$R$6:$R$676,'KK Penjaminan Kualitas'!$T$6:$T$676,$S35,'KK Penjaminan Kualitas'!$E$6:$E$676,"B")/SUMPRODUCT(('KK Penjaminan Kualitas'!$T$6:$T$676=$S35)*('KK Penjaminan Kualitas'!$E$6:$E$676="B")*ISNUMBER('KK Penjaminan Kualitas'!$R$6:$R$676)),"")</f>
        <v/>
      </c>
      <c r="N35" s="63">
        <f>IFERROR(SUMIFS('KK Penjaminan Kualitas'!$R$6:$R$676,'KK Penjaminan Kualitas'!$T$6:$T$676,$S35,'KK Penjaminan Kualitas'!$E$6:$E$676,"A")/SUMPRODUCT(('KK Penjaminan Kualitas'!$T$6:$T$676=$S35)*('KK Penjaminan Kualitas'!$E$6:$E$676="A")*ISNUMBER('KK Penjaminan Kualitas'!$R$6:$R$676)),"")</f>
        <v/>
      </c>
      <c r="O35" s="38">
        <f>IF(H35=0,"",SUMIFS('KK Penjaminan Kualitas'!$R$6:$R$676,'KK Penjaminan Kualitas'!$T$6:$T$676,$S35)/H35)</f>
        <v/>
      </c>
      <c r="P35" s="30">
        <f>IF(Q35="","",IF(Q35=0,"&lt; E",MID("EDCBA",Q35,1)))</f>
        <v/>
      </c>
      <c r="Q35" s="30">
        <f>IF(H35=0,"",IF(NOT(AND(ISNUMBER(J35),J35&gt;=Petunjuk!$C$14)),0,IF(NOT(AND(ISNUMBER(K35),K35&gt;=Petunjuk!$C$14)),1,IF(NOT(AND(ISNUMBER(L35),L35&gt;=Petunjuk!$C$14)),2,IF(NOT(AND(ISNUMBER(M35),M35&gt;=Petunjuk!$C$14)),3,IF(NOT(AND(ISNUMBER(N35),N35&gt;=Petunjuk!$C$14)),4,5))))))</f>
        <v/>
      </c>
      <c r="R35" s="37">
        <f>IF(Q35="","Belum dinilai",IF(Q35=5,"Seluruh grade terpenuhi","Lengkapi evidence Grade "&amp;MID("EDCBA",Q35+1,1)&amp;IF(I35&gt;0," ("&amp;I35&amp;" item belum dinilai)","")))</f>
        <v/>
      </c>
      <c r="S35" s="39" t="inlineStr">
        <is>
          <t>3.9-1</t>
        </is>
      </c>
    </row>
    <row r="36" ht="46.5" customHeight="1">
      <c r="A36" s="28" t="n">
        <v>32</v>
      </c>
      <c r="B36" s="28" t="inlineStr">
        <is>
          <t>3.10</t>
        </is>
      </c>
      <c r="C36" s="37" t="inlineStr">
        <is>
          <t>Akuntabilitas terhadap Sumber Daya dan Pencatatannya</t>
        </is>
      </c>
      <c r="D36" s="28" t="n">
        <v>1</v>
      </c>
      <c r="E36" s="37">
        <f>IFERROR(INDEX(FILTER('KK Penjaminan Kualitas'!$D$6:$D$676,'KK Penjaminan Kualitas'!$A$6:$A$676=B36,'KK Penjaminan Kualitas'!$C$6:$C$676=D36),1),"")</f>
        <v/>
      </c>
      <c r="F36" s="28">
        <f>COUNTIFS('KK Penjaminan Kualitas'!$T$6:$T$676,$S36,'KK Penjaminan Kualitas'!$J$6:$J$676,"&lt;&gt;")</f>
        <v/>
      </c>
      <c r="G36" s="28">
        <f>COUNTIFS('KK Penjaminan Kualitas'!$T$6:$T$676,$S36,'KK Penjaminan Kualitas'!$L$6:$L$676,"N/A")</f>
        <v/>
      </c>
      <c r="H36" s="28">
        <f>SUMPRODUCT(('KK Penjaminan Kualitas'!$T$6:$T$676=$S36)*ISNUMBER('KK Penjaminan Kualitas'!$R$6:$R$676))</f>
        <v/>
      </c>
      <c r="I36" s="28">
        <f>F36-G36-H36</f>
        <v/>
      </c>
      <c r="J36" s="63">
        <f>IFERROR(SUMIFS('KK Penjaminan Kualitas'!$R$6:$R$676,'KK Penjaminan Kualitas'!$T$6:$T$676,$S36,'KK Penjaminan Kualitas'!$E$6:$E$676,"E")/SUMPRODUCT(('KK Penjaminan Kualitas'!$T$6:$T$676=$S36)*('KK Penjaminan Kualitas'!$E$6:$E$676="E")*ISNUMBER('KK Penjaminan Kualitas'!$R$6:$R$676)),"")</f>
        <v/>
      </c>
      <c r="K36" s="63">
        <f>IFERROR(SUMIFS('KK Penjaminan Kualitas'!$R$6:$R$676,'KK Penjaminan Kualitas'!$T$6:$T$676,$S36,'KK Penjaminan Kualitas'!$E$6:$E$676,"D")/SUMPRODUCT(('KK Penjaminan Kualitas'!$T$6:$T$676=$S36)*('KK Penjaminan Kualitas'!$E$6:$E$676="D")*ISNUMBER('KK Penjaminan Kualitas'!$R$6:$R$676)),"")</f>
        <v/>
      </c>
      <c r="L36" s="63">
        <f>IFERROR(SUMIFS('KK Penjaminan Kualitas'!$R$6:$R$676,'KK Penjaminan Kualitas'!$T$6:$T$676,$S36,'KK Penjaminan Kualitas'!$E$6:$E$676,"C")/SUMPRODUCT(('KK Penjaminan Kualitas'!$T$6:$T$676=$S36)*('KK Penjaminan Kualitas'!$E$6:$E$676="C")*ISNUMBER('KK Penjaminan Kualitas'!$R$6:$R$676)),"")</f>
        <v/>
      </c>
      <c r="M36" s="63">
        <f>IFERROR(SUMIFS('KK Penjaminan Kualitas'!$R$6:$R$676,'KK Penjaminan Kualitas'!$T$6:$T$676,$S36,'KK Penjaminan Kualitas'!$E$6:$E$676,"B")/SUMPRODUCT(('KK Penjaminan Kualitas'!$T$6:$T$676=$S36)*('KK Penjaminan Kualitas'!$E$6:$E$676="B")*ISNUMBER('KK Penjaminan Kualitas'!$R$6:$R$676)),"")</f>
        <v/>
      </c>
      <c r="N36" s="63">
        <f>IFERROR(SUMIFS('KK Penjaminan Kualitas'!$R$6:$R$676,'KK Penjaminan Kualitas'!$T$6:$T$676,$S36,'KK Penjaminan Kualitas'!$E$6:$E$676,"A")/SUMPRODUCT(('KK Penjaminan Kualitas'!$T$6:$T$676=$S36)*('KK Penjaminan Kualitas'!$E$6:$E$676="A")*ISNUMBER('KK Penjaminan Kualitas'!$R$6:$R$676)),"")</f>
        <v/>
      </c>
      <c r="O36" s="38">
        <f>IF(H36=0,"",SUMIFS('KK Penjaminan Kualitas'!$R$6:$R$676,'KK Penjaminan Kualitas'!$T$6:$T$676,$S36)/H36)</f>
        <v/>
      </c>
      <c r="P36" s="30">
        <f>IF(Q36="","",IF(Q36=0,"&lt; E",MID("EDCBA",Q36,1)))</f>
        <v/>
      </c>
      <c r="Q36" s="30">
        <f>IF(H36=0,"",IF(NOT(AND(ISNUMBER(J36),J36&gt;=Petunjuk!$C$14)),0,IF(NOT(AND(ISNUMBER(K36),K36&gt;=Petunjuk!$C$14)),1,IF(NOT(AND(ISNUMBER(L36),L36&gt;=Petunjuk!$C$14)),2,IF(NOT(AND(ISNUMBER(M36),M36&gt;=Petunjuk!$C$14)),3,IF(NOT(AND(ISNUMBER(N36),N36&gt;=Petunjuk!$C$14)),4,5))))))</f>
        <v/>
      </c>
      <c r="R36" s="37">
        <f>IF(Q36="","Belum dinilai",IF(Q36=5,"Seluruh grade terpenuhi","Lengkapi evidence Grade "&amp;MID("EDCBA",Q36+1,1)&amp;IF(I36&gt;0," ("&amp;I36&amp;" item belum dinilai)","")))</f>
        <v/>
      </c>
      <c r="S36" s="39" t="inlineStr">
        <is>
          <t>3.10-1</t>
        </is>
      </c>
    </row>
    <row r="37" ht="69.75" customHeight="1">
      <c r="A37" s="28" t="n">
        <v>33</v>
      </c>
      <c r="B37" s="28" t="inlineStr">
        <is>
          <t>3.11</t>
        </is>
      </c>
      <c r="C37" s="37" t="inlineStr">
        <is>
          <t>Dokumentasi yang Baik atas SPI serta Transaksi dan Kejadian Penting</t>
        </is>
      </c>
      <c r="D37" s="28" t="n">
        <v>1</v>
      </c>
      <c r="E37" s="37">
        <f>IFERROR(INDEX(FILTER('KK Penjaminan Kualitas'!$D$6:$D$676,'KK Penjaminan Kualitas'!$A$6:$A$676=B37,'KK Penjaminan Kualitas'!$C$6:$C$676=D37),1),"")</f>
        <v/>
      </c>
      <c r="F37" s="28">
        <f>COUNTIFS('KK Penjaminan Kualitas'!$T$6:$T$676,$S37,'KK Penjaminan Kualitas'!$J$6:$J$676,"&lt;&gt;")</f>
        <v/>
      </c>
      <c r="G37" s="28">
        <f>COUNTIFS('KK Penjaminan Kualitas'!$T$6:$T$676,$S37,'KK Penjaminan Kualitas'!$L$6:$L$676,"N/A")</f>
        <v/>
      </c>
      <c r="H37" s="28">
        <f>SUMPRODUCT(('KK Penjaminan Kualitas'!$T$6:$T$676=$S37)*ISNUMBER('KK Penjaminan Kualitas'!$R$6:$R$676))</f>
        <v/>
      </c>
      <c r="I37" s="28">
        <f>F37-G37-H37</f>
        <v/>
      </c>
      <c r="J37" s="63">
        <f>IFERROR(SUMIFS('KK Penjaminan Kualitas'!$R$6:$R$676,'KK Penjaminan Kualitas'!$T$6:$T$676,$S37,'KK Penjaminan Kualitas'!$E$6:$E$676,"E")/SUMPRODUCT(('KK Penjaminan Kualitas'!$T$6:$T$676=$S37)*('KK Penjaminan Kualitas'!$E$6:$E$676="E")*ISNUMBER('KK Penjaminan Kualitas'!$R$6:$R$676)),"")</f>
        <v/>
      </c>
      <c r="K37" s="63">
        <f>IFERROR(SUMIFS('KK Penjaminan Kualitas'!$R$6:$R$676,'KK Penjaminan Kualitas'!$T$6:$T$676,$S37,'KK Penjaminan Kualitas'!$E$6:$E$676,"D")/SUMPRODUCT(('KK Penjaminan Kualitas'!$T$6:$T$676=$S37)*('KK Penjaminan Kualitas'!$E$6:$E$676="D")*ISNUMBER('KK Penjaminan Kualitas'!$R$6:$R$676)),"")</f>
        <v/>
      </c>
      <c r="L37" s="63">
        <f>IFERROR(SUMIFS('KK Penjaminan Kualitas'!$R$6:$R$676,'KK Penjaminan Kualitas'!$T$6:$T$676,$S37,'KK Penjaminan Kualitas'!$E$6:$E$676,"C")/SUMPRODUCT(('KK Penjaminan Kualitas'!$T$6:$T$676=$S37)*('KK Penjaminan Kualitas'!$E$6:$E$676="C")*ISNUMBER('KK Penjaminan Kualitas'!$R$6:$R$676)),"")</f>
        <v/>
      </c>
      <c r="M37" s="63">
        <f>IFERROR(SUMIFS('KK Penjaminan Kualitas'!$R$6:$R$676,'KK Penjaminan Kualitas'!$T$6:$T$676,$S37,'KK Penjaminan Kualitas'!$E$6:$E$676,"B")/SUMPRODUCT(('KK Penjaminan Kualitas'!$T$6:$T$676=$S37)*('KK Penjaminan Kualitas'!$E$6:$E$676="B")*ISNUMBER('KK Penjaminan Kualitas'!$R$6:$R$676)),"")</f>
        <v/>
      </c>
      <c r="N37" s="63">
        <f>IFERROR(SUMIFS('KK Penjaminan Kualitas'!$R$6:$R$676,'KK Penjaminan Kualitas'!$T$6:$T$676,$S37,'KK Penjaminan Kualitas'!$E$6:$E$676,"A")/SUMPRODUCT(('KK Penjaminan Kualitas'!$T$6:$T$676=$S37)*('KK Penjaminan Kualitas'!$E$6:$E$676="A")*ISNUMBER('KK Penjaminan Kualitas'!$R$6:$R$676)),"")</f>
        <v/>
      </c>
      <c r="O37" s="38">
        <f>IF(H37=0,"",SUMIFS('KK Penjaminan Kualitas'!$R$6:$R$676,'KK Penjaminan Kualitas'!$T$6:$T$676,$S37)/H37)</f>
        <v/>
      </c>
      <c r="P37" s="30">
        <f>IF(Q37="","",IF(Q37=0,"&lt; E",MID("EDCBA",Q37,1)))</f>
        <v/>
      </c>
      <c r="Q37" s="30">
        <f>IF(H37=0,"",IF(NOT(AND(ISNUMBER(J37),J37&gt;=Petunjuk!$C$14)),0,IF(NOT(AND(ISNUMBER(K37),K37&gt;=Petunjuk!$C$14)),1,IF(NOT(AND(ISNUMBER(L37),L37&gt;=Petunjuk!$C$14)),2,IF(NOT(AND(ISNUMBER(M37),M37&gt;=Petunjuk!$C$14)),3,IF(NOT(AND(ISNUMBER(N37),N37&gt;=Petunjuk!$C$14)),4,5))))))</f>
        <v/>
      </c>
      <c r="R37" s="37">
        <f>IF(Q37="","Belum dinilai",IF(Q37=5,"Seluruh grade terpenuhi","Lengkapi evidence Grade "&amp;MID("EDCBA",Q37+1,1)&amp;IF(I37&gt;0," ("&amp;I37&amp;" item belum dinilai)","")))</f>
        <v/>
      </c>
      <c r="S37" s="39" t="inlineStr">
        <is>
          <t>3.11-1</t>
        </is>
      </c>
    </row>
    <row r="38" ht="23.25" customHeight="1">
      <c r="A38" s="28" t="n">
        <v>34</v>
      </c>
      <c r="B38" s="28" t="inlineStr">
        <is>
          <t>4.1</t>
        </is>
      </c>
      <c r="C38" s="37" t="inlineStr">
        <is>
          <t>Informasi yang Relevan</t>
        </is>
      </c>
      <c r="D38" s="28" t="n">
        <v>1</v>
      </c>
      <c r="E38" s="37">
        <f>IFERROR(INDEX(FILTER('KK Penjaminan Kualitas'!$D$6:$D$676,'KK Penjaminan Kualitas'!$A$6:$A$676=B38,'KK Penjaminan Kualitas'!$C$6:$C$676=D38),1),"")</f>
        <v/>
      </c>
      <c r="F38" s="28">
        <f>COUNTIFS('KK Penjaminan Kualitas'!$T$6:$T$676,$S38,'KK Penjaminan Kualitas'!$J$6:$J$676,"&lt;&gt;")</f>
        <v/>
      </c>
      <c r="G38" s="28">
        <f>COUNTIFS('KK Penjaminan Kualitas'!$T$6:$T$676,$S38,'KK Penjaminan Kualitas'!$L$6:$L$676,"N/A")</f>
        <v/>
      </c>
      <c r="H38" s="28">
        <f>SUMPRODUCT(('KK Penjaminan Kualitas'!$T$6:$T$676=$S38)*ISNUMBER('KK Penjaminan Kualitas'!$R$6:$R$676))</f>
        <v/>
      </c>
      <c r="I38" s="28">
        <f>F38-G38-H38</f>
        <v/>
      </c>
      <c r="J38" s="63">
        <f>IFERROR(SUMIFS('KK Penjaminan Kualitas'!$R$6:$R$676,'KK Penjaminan Kualitas'!$T$6:$T$676,$S38,'KK Penjaminan Kualitas'!$E$6:$E$676,"E")/SUMPRODUCT(('KK Penjaminan Kualitas'!$T$6:$T$676=$S38)*('KK Penjaminan Kualitas'!$E$6:$E$676="E")*ISNUMBER('KK Penjaminan Kualitas'!$R$6:$R$676)),"")</f>
        <v/>
      </c>
      <c r="K38" s="63">
        <f>IFERROR(SUMIFS('KK Penjaminan Kualitas'!$R$6:$R$676,'KK Penjaminan Kualitas'!$T$6:$T$676,$S38,'KK Penjaminan Kualitas'!$E$6:$E$676,"D")/SUMPRODUCT(('KK Penjaminan Kualitas'!$T$6:$T$676=$S38)*('KK Penjaminan Kualitas'!$E$6:$E$676="D")*ISNUMBER('KK Penjaminan Kualitas'!$R$6:$R$676)),"")</f>
        <v/>
      </c>
      <c r="L38" s="63">
        <f>IFERROR(SUMIFS('KK Penjaminan Kualitas'!$R$6:$R$676,'KK Penjaminan Kualitas'!$T$6:$T$676,$S38,'KK Penjaminan Kualitas'!$E$6:$E$676,"C")/SUMPRODUCT(('KK Penjaminan Kualitas'!$T$6:$T$676=$S38)*('KK Penjaminan Kualitas'!$E$6:$E$676="C")*ISNUMBER('KK Penjaminan Kualitas'!$R$6:$R$676)),"")</f>
        <v/>
      </c>
      <c r="M38" s="63">
        <f>IFERROR(SUMIFS('KK Penjaminan Kualitas'!$R$6:$R$676,'KK Penjaminan Kualitas'!$T$6:$T$676,$S38,'KK Penjaminan Kualitas'!$E$6:$E$676,"B")/SUMPRODUCT(('KK Penjaminan Kualitas'!$T$6:$T$676=$S38)*('KK Penjaminan Kualitas'!$E$6:$E$676="B")*ISNUMBER('KK Penjaminan Kualitas'!$R$6:$R$676)),"")</f>
        <v/>
      </c>
      <c r="N38" s="63">
        <f>IFERROR(SUMIFS('KK Penjaminan Kualitas'!$R$6:$R$676,'KK Penjaminan Kualitas'!$T$6:$T$676,$S38,'KK Penjaminan Kualitas'!$E$6:$E$676,"A")/SUMPRODUCT(('KK Penjaminan Kualitas'!$T$6:$T$676=$S38)*('KK Penjaminan Kualitas'!$E$6:$E$676="A")*ISNUMBER('KK Penjaminan Kualitas'!$R$6:$R$676)),"")</f>
        <v/>
      </c>
      <c r="O38" s="38">
        <f>IF(H38=0,"",SUMIFS('KK Penjaminan Kualitas'!$R$6:$R$676,'KK Penjaminan Kualitas'!$T$6:$T$676,$S38)/H38)</f>
        <v/>
      </c>
      <c r="P38" s="30">
        <f>IF(Q38="","",IF(Q38=0,"&lt; E",MID("EDCBA",Q38,1)))</f>
        <v/>
      </c>
      <c r="Q38" s="30">
        <f>IF(H38=0,"",IF(NOT(AND(ISNUMBER(J38),J38&gt;=Petunjuk!$C$14)),0,IF(NOT(AND(ISNUMBER(K38),K38&gt;=Petunjuk!$C$14)),1,IF(NOT(AND(ISNUMBER(L38),L38&gt;=Petunjuk!$C$14)),2,IF(NOT(AND(ISNUMBER(M38),M38&gt;=Petunjuk!$C$14)),3,IF(NOT(AND(ISNUMBER(N38),N38&gt;=Petunjuk!$C$14)),4,5))))))</f>
        <v/>
      </c>
      <c r="R38" s="37">
        <f>IF(Q38="","Belum dinilai",IF(Q38=5,"Seluruh grade terpenuhi","Lengkapi evidence Grade "&amp;MID("EDCBA",Q38+1,1)&amp;IF(I38&gt;0," ("&amp;I38&amp;" item belum dinilai)","")))</f>
        <v/>
      </c>
      <c r="S38" s="39" t="inlineStr">
        <is>
          <t>4.1-1</t>
        </is>
      </c>
    </row>
    <row r="39">
      <c r="A39" s="28" t="n">
        <v>35</v>
      </c>
      <c r="B39" s="28" t="inlineStr">
        <is>
          <t>4.1</t>
        </is>
      </c>
      <c r="C39" s="37" t="inlineStr">
        <is>
          <t>Informasi yang Relevan</t>
        </is>
      </c>
      <c r="D39" s="28" t="n">
        <v>2</v>
      </c>
      <c r="E39" s="37">
        <f>IFERROR(INDEX(FILTER('KK Penjaminan Kualitas'!$D$6:$D$676,'KK Penjaminan Kualitas'!$A$6:$A$676=B39,'KK Penjaminan Kualitas'!$C$6:$C$676=D39),1),"")</f>
        <v/>
      </c>
      <c r="F39" s="28">
        <f>COUNTIFS('KK Penjaminan Kualitas'!$T$6:$T$676,$S39,'KK Penjaminan Kualitas'!$J$6:$J$676,"&lt;&gt;")</f>
        <v/>
      </c>
      <c r="G39" s="28">
        <f>COUNTIFS('KK Penjaminan Kualitas'!$T$6:$T$676,$S39,'KK Penjaminan Kualitas'!$L$6:$L$676,"N/A")</f>
        <v/>
      </c>
      <c r="H39" s="28">
        <f>SUMPRODUCT(('KK Penjaminan Kualitas'!$T$6:$T$676=$S39)*ISNUMBER('KK Penjaminan Kualitas'!$R$6:$R$676))</f>
        <v/>
      </c>
      <c r="I39" s="28">
        <f>F39-G39-H39</f>
        <v/>
      </c>
      <c r="J39" s="63">
        <f>IFERROR(SUMIFS('KK Penjaminan Kualitas'!$R$6:$R$676,'KK Penjaminan Kualitas'!$T$6:$T$676,$S39,'KK Penjaminan Kualitas'!$E$6:$E$676,"E")/SUMPRODUCT(('KK Penjaminan Kualitas'!$T$6:$T$676=$S39)*('KK Penjaminan Kualitas'!$E$6:$E$676="E")*ISNUMBER('KK Penjaminan Kualitas'!$R$6:$R$676)),"")</f>
        <v/>
      </c>
      <c r="K39" s="63">
        <f>IFERROR(SUMIFS('KK Penjaminan Kualitas'!$R$6:$R$676,'KK Penjaminan Kualitas'!$T$6:$T$676,$S39,'KK Penjaminan Kualitas'!$E$6:$E$676,"D")/SUMPRODUCT(('KK Penjaminan Kualitas'!$T$6:$T$676=$S39)*('KK Penjaminan Kualitas'!$E$6:$E$676="D")*ISNUMBER('KK Penjaminan Kualitas'!$R$6:$R$676)),"")</f>
        <v/>
      </c>
      <c r="L39" s="63">
        <f>IFERROR(SUMIFS('KK Penjaminan Kualitas'!$R$6:$R$676,'KK Penjaminan Kualitas'!$T$6:$T$676,$S39,'KK Penjaminan Kualitas'!$E$6:$E$676,"C")/SUMPRODUCT(('KK Penjaminan Kualitas'!$T$6:$T$676=$S39)*('KK Penjaminan Kualitas'!$E$6:$E$676="C")*ISNUMBER('KK Penjaminan Kualitas'!$R$6:$R$676)),"")</f>
        <v/>
      </c>
      <c r="M39" s="63">
        <f>IFERROR(SUMIFS('KK Penjaminan Kualitas'!$R$6:$R$676,'KK Penjaminan Kualitas'!$T$6:$T$676,$S39,'KK Penjaminan Kualitas'!$E$6:$E$676,"B")/SUMPRODUCT(('KK Penjaminan Kualitas'!$T$6:$T$676=$S39)*('KK Penjaminan Kualitas'!$E$6:$E$676="B")*ISNUMBER('KK Penjaminan Kualitas'!$R$6:$R$676)),"")</f>
        <v/>
      </c>
      <c r="N39" s="63">
        <f>IFERROR(SUMIFS('KK Penjaminan Kualitas'!$R$6:$R$676,'KK Penjaminan Kualitas'!$T$6:$T$676,$S39,'KK Penjaminan Kualitas'!$E$6:$E$676,"A")/SUMPRODUCT(('KK Penjaminan Kualitas'!$T$6:$T$676=$S39)*('KK Penjaminan Kualitas'!$E$6:$E$676="A")*ISNUMBER('KK Penjaminan Kualitas'!$R$6:$R$676)),"")</f>
        <v/>
      </c>
      <c r="O39" s="38">
        <f>IF(H39=0,"",SUMIFS('KK Penjaminan Kualitas'!$R$6:$R$676,'KK Penjaminan Kualitas'!$T$6:$T$676,$S39)/H39)</f>
        <v/>
      </c>
      <c r="P39" s="30">
        <f>IF(Q39="","",IF(Q39=0,"&lt; E",MID("EDCBA",Q39,1)))</f>
        <v/>
      </c>
      <c r="Q39" s="30">
        <f>IF(H39=0,"",IF(NOT(AND(ISNUMBER(J39),J39&gt;=Petunjuk!$C$14)),0,IF(NOT(AND(ISNUMBER(K39),K39&gt;=Petunjuk!$C$14)),1,IF(NOT(AND(ISNUMBER(L39),L39&gt;=Petunjuk!$C$14)),2,IF(NOT(AND(ISNUMBER(M39),M39&gt;=Petunjuk!$C$14)),3,IF(NOT(AND(ISNUMBER(N39),N39&gt;=Petunjuk!$C$14)),4,5))))))</f>
        <v/>
      </c>
      <c r="R39" s="37">
        <f>IF(Q39="","Belum dinilai",IF(Q39=5,"Seluruh grade terpenuhi","Lengkapi evidence Grade "&amp;MID("EDCBA",Q39+1,1)&amp;IF(I39&gt;0," ("&amp;I39&amp;" item belum dinilai)","")))</f>
        <v/>
      </c>
      <c r="S39" s="39" t="inlineStr">
        <is>
          <t>4.1-2</t>
        </is>
      </c>
    </row>
    <row r="40" ht="23.25" customHeight="1">
      <c r="A40" s="28" t="n">
        <v>36</v>
      </c>
      <c r="B40" s="28" t="inlineStr">
        <is>
          <t>4.1</t>
        </is>
      </c>
      <c r="C40" s="37" t="inlineStr">
        <is>
          <t>Informasi yang Relevan</t>
        </is>
      </c>
      <c r="D40" s="28" t="n">
        <v>3</v>
      </c>
      <c r="E40" s="37">
        <f>IFERROR(INDEX(FILTER('KK Penjaminan Kualitas'!$D$6:$D$676,'KK Penjaminan Kualitas'!$A$6:$A$676=B40,'KK Penjaminan Kualitas'!$C$6:$C$676=D40),1),"")</f>
        <v/>
      </c>
      <c r="F40" s="28">
        <f>COUNTIFS('KK Penjaminan Kualitas'!$T$6:$T$676,$S40,'KK Penjaminan Kualitas'!$J$6:$J$676,"&lt;&gt;")</f>
        <v/>
      </c>
      <c r="G40" s="28">
        <f>COUNTIFS('KK Penjaminan Kualitas'!$T$6:$T$676,$S40,'KK Penjaminan Kualitas'!$L$6:$L$676,"N/A")</f>
        <v/>
      </c>
      <c r="H40" s="28">
        <f>SUMPRODUCT(('KK Penjaminan Kualitas'!$T$6:$T$676=$S40)*ISNUMBER('KK Penjaminan Kualitas'!$R$6:$R$676))</f>
        <v/>
      </c>
      <c r="I40" s="28">
        <f>F40-G40-H40</f>
        <v/>
      </c>
      <c r="J40" s="63">
        <f>IFERROR(SUMIFS('KK Penjaminan Kualitas'!$R$6:$R$676,'KK Penjaminan Kualitas'!$T$6:$T$676,$S40,'KK Penjaminan Kualitas'!$E$6:$E$676,"E")/SUMPRODUCT(('KK Penjaminan Kualitas'!$T$6:$T$676=$S40)*('KK Penjaminan Kualitas'!$E$6:$E$676="E")*ISNUMBER('KK Penjaminan Kualitas'!$R$6:$R$676)),"")</f>
        <v/>
      </c>
      <c r="K40" s="63">
        <f>IFERROR(SUMIFS('KK Penjaminan Kualitas'!$R$6:$R$676,'KK Penjaminan Kualitas'!$T$6:$T$676,$S40,'KK Penjaminan Kualitas'!$E$6:$E$676,"D")/SUMPRODUCT(('KK Penjaminan Kualitas'!$T$6:$T$676=$S40)*('KK Penjaminan Kualitas'!$E$6:$E$676="D")*ISNUMBER('KK Penjaminan Kualitas'!$R$6:$R$676)),"")</f>
        <v/>
      </c>
      <c r="L40" s="63">
        <f>IFERROR(SUMIFS('KK Penjaminan Kualitas'!$R$6:$R$676,'KK Penjaminan Kualitas'!$T$6:$T$676,$S40,'KK Penjaminan Kualitas'!$E$6:$E$676,"C")/SUMPRODUCT(('KK Penjaminan Kualitas'!$T$6:$T$676=$S40)*('KK Penjaminan Kualitas'!$E$6:$E$676="C")*ISNUMBER('KK Penjaminan Kualitas'!$R$6:$R$676)),"")</f>
        <v/>
      </c>
      <c r="M40" s="63">
        <f>IFERROR(SUMIFS('KK Penjaminan Kualitas'!$R$6:$R$676,'KK Penjaminan Kualitas'!$T$6:$T$676,$S40,'KK Penjaminan Kualitas'!$E$6:$E$676,"B")/SUMPRODUCT(('KK Penjaminan Kualitas'!$T$6:$T$676=$S40)*('KK Penjaminan Kualitas'!$E$6:$E$676="B")*ISNUMBER('KK Penjaminan Kualitas'!$R$6:$R$676)),"")</f>
        <v/>
      </c>
      <c r="N40" s="63">
        <f>IFERROR(SUMIFS('KK Penjaminan Kualitas'!$R$6:$R$676,'KK Penjaminan Kualitas'!$T$6:$T$676,$S40,'KK Penjaminan Kualitas'!$E$6:$E$676,"A")/SUMPRODUCT(('KK Penjaminan Kualitas'!$T$6:$T$676=$S40)*('KK Penjaminan Kualitas'!$E$6:$E$676="A")*ISNUMBER('KK Penjaminan Kualitas'!$R$6:$R$676)),"")</f>
        <v/>
      </c>
      <c r="O40" s="38">
        <f>IF(H40=0,"",SUMIFS('KK Penjaminan Kualitas'!$R$6:$R$676,'KK Penjaminan Kualitas'!$T$6:$T$676,$S40)/H40)</f>
        <v/>
      </c>
      <c r="P40" s="30">
        <f>IF(Q40="","",IF(Q40=0,"&lt; E",MID("EDCBA",Q40,1)))</f>
        <v/>
      </c>
      <c r="Q40" s="30">
        <f>IF(H40=0,"",IF(NOT(AND(ISNUMBER(J40),J40&gt;=Petunjuk!$C$14)),0,IF(NOT(AND(ISNUMBER(K40),K40&gt;=Petunjuk!$C$14)),1,IF(NOT(AND(ISNUMBER(L40),L40&gt;=Petunjuk!$C$14)),2,IF(NOT(AND(ISNUMBER(M40),M40&gt;=Petunjuk!$C$14)),3,IF(NOT(AND(ISNUMBER(N40),N40&gt;=Petunjuk!$C$14)),4,5))))))</f>
        <v/>
      </c>
      <c r="R40" s="37">
        <f>IF(Q40="","Belum dinilai",IF(Q40=5,"Seluruh grade terpenuhi","Lengkapi evidence Grade "&amp;MID("EDCBA",Q40+1,1)&amp;IF(I40&gt;0," ("&amp;I40&amp;" item belum dinilai)","")))</f>
        <v/>
      </c>
      <c r="S40" s="39" t="inlineStr">
        <is>
          <t>4.1-3</t>
        </is>
      </c>
    </row>
    <row r="41" ht="23.25" customHeight="1">
      <c r="A41" s="28" t="n">
        <v>37</v>
      </c>
      <c r="B41" s="28" t="inlineStr">
        <is>
          <t>4.1</t>
        </is>
      </c>
      <c r="C41" s="37" t="inlineStr">
        <is>
          <t>Informasi yang Relevan</t>
        </is>
      </c>
      <c r="D41" s="28" t="n">
        <v>4</v>
      </c>
      <c r="E41" s="37">
        <f>IFERROR(INDEX(FILTER('KK Penjaminan Kualitas'!$D$6:$D$676,'KK Penjaminan Kualitas'!$A$6:$A$676=B41,'KK Penjaminan Kualitas'!$C$6:$C$676=D41),1),"")</f>
        <v/>
      </c>
      <c r="F41" s="28">
        <f>COUNTIFS('KK Penjaminan Kualitas'!$T$6:$T$676,$S41,'KK Penjaminan Kualitas'!$J$6:$J$676,"&lt;&gt;")</f>
        <v/>
      </c>
      <c r="G41" s="28">
        <f>COUNTIFS('KK Penjaminan Kualitas'!$T$6:$T$676,$S41,'KK Penjaminan Kualitas'!$L$6:$L$676,"N/A")</f>
        <v/>
      </c>
      <c r="H41" s="28">
        <f>SUMPRODUCT(('KK Penjaminan Kualitas'!$T$6:$T$676=$S41)*ISNUMBER('KK Penjaminan Kualitas'!$R$6:$R$676))</f>
        <v/>
      </c>
      <c r="I41" s="28">
        <f>F41-G41-H41</f>
        <v/>
      </c>
      <c r="J41" s="63">
        <f>IFERROR(SUMIFS('KK Penjaminan Kualitas'!$R$6:$R$676,'KK Penjaminan Kualitas'!$T$6:$T$676,$S41,'KK Penjaminan Kualitas'!$E$6:$E$676,"E")/SUMPRODUCT(('KK Penjaminan Kualitas'!$T$6:$T$676=$S41)*('KK Penjaminan Kualitas'!$E$6:$E$676="E")*ISNUMBER('KK Penjaminan Kualitas'!$R$6:$R$676)),"")</f>
        <v/>
      </c>
      <c r="K41" s="63">
        <f>IFERROR(SUMIFS('KK Penjaminan Kualitas'!$R$6:$R$676,'KK Penjaminan Kualitas'!$T$6:$T$676,$S41,'KK Penjaminan Kualitas'!$E$6:$E$676,"D")/SUMPRODUCT(('KK Penjaminan Kualitas'!$T$6:$T$676=$S41)*('KK Penjaminan Kualitas'!$E$6:$E$676="D")*ISNUMBER('KK Penjaminan Kualitas'!$R$6:$R$676)),"")</f>
        <v/>
      </c>
      <c r="L41" s="63">
        <f>IFERROR(SUMIFS('KK Penjaminan Kualitas'!$R$6:$R$676,'KK Penjaminan Kualitas'!$T$6:$T$676,$S41,'KK Penjaminan Kualitas'!$E$6:$E$676,"C")/SUMPRODUCT(('KK Penjaminan Kualitas'!$T$6:$T$676=$S41)*('KK Penjaminan Kualitas'!$E$6:$E$676="C")*ISNUMBER('KK Penjaminan Kualitas'!$R$6:$R$676)),"")</f>
        <v/>
      </c>
      <c r="M41" s="63">
        <f>IFERROR(SUMIFS('KK Penjaminan Kualitas'!$R$6:$R$676,'KK Penjaminan Kualitas'!$T$6:$T$676,$S41,'KK Penjaminan Kualitas'!$E$6:$E$676,"B")/SUMPRODUCT(('KK Penjaminan Kualitas'!$T$6:$T$676=$S41)*('KK Penjaminan Kualitas'!$E$6:$E$676="B")*ISNUMBER('KK Penjaminan Kualitas'!$R$6:$R$676)),"")</f>
        <v/>
      </c>
      <c r="N41" s="63">
        <f>IFERROR(SUMIFS('KK Penjaminan Kualitas'!$R$6:$R$676,'KK Penjaminan Kualitas'!$T$6:$T$676,$S41,'KK Penjaminan Kualitas'!$E$6:$E$676,"A")/SUMPRODUCT(('KK Penjaminan Kualitas'!$T$6:$T$676=$S41)*('KK Penjaminan Kualitas'!$E$6:$E$676="A")*ISNUMBER('KK Penjaminan Kualitas'!$R$6:$R$676)),"")</f>
        <v/>
      </c>
      <c r="O41" s="38">
        <f>IF(H41=0,"",SUMIFS('KK Penjaminan Kualitas'!$R$6:$R$676,'KK Penjaminan Kualitas'!$T$6:$T$676,$S41)/H41)</f>
        <v/>
      </c>
      <c r="P41" s="30">
        <f>IF(Q41="","",IF(Q41=0,"&lt; E",MID("EDCBA",Q41,1)))</f>
        <v/>
      </c>
      <c r="Q41" s="30">
        <f>IF(H41=0,"",IF(NOT(AND(ISNUMBER(J41),J41&gt;=Petunjuk!$C$14)),0,IF(NOT(AND(ISNUMBER(K41),K41&gt;=Petunjuk!$C$14)),1,IF(NOT(AND(ISNUMBER(L41),L41&gt;=Petunjuk!$C$14)),2,IF(NOT(AND(ISNUMBER(M41),M41&gt;=Petunjuk!$C$14)),3,IF(NOT(AND(ISNUMBER(N41),N41&gt;=Petunjuk!$C$14)),4,5))))))</f>
        <v/>
      </c>
      <c r="R41" s="37">
        <f>IF(Q41="","Belum dinilai",IF(Q41=5,"Seluruh grade terpenuhi","Lengkapi evidence Grade "&amp;MID("EDCBA",Q41+1,1)&amp;IF(I41&gt;0," ("&amp;I41&amp;" item belum dinilai)","")))</f>
        <v/>
      </c>
      <c r="S41" s="39" t="inlineStr">
        <is>
          <t>4.1-4</t>
        </is>
      </c>
    </row>
    <row r="42" ht="23.25" customHeight="1">
      <c r="A42" s="28" t="n">
        <v>38</v>
      </c>
      <c r="B42" s="28" t="inlineStr">
        <is>
          <t>4.2</t>
        </is>
      </c>
      <c r="C42" s="37" t="inlineStr">
        <is>
          <t>Komunikasi yang Efektif</t>
        </is>
      </c>
      <c r="D42" s="28" t="n">
        <v>1</v>
      </c>
      <c r="E42" s="37">
        <f>IFERROR(INDEX(FILTER('KK Penjaminan Kualitas'!$D$6:$D$676,'KK Penjaminan Kualitas'!$A$6:$A$676=B42,'KK Penjaminan Kualitas'!$C$6:$C$676=D42),1),"")</f>
        <v/>
      </c>
      <c r="F42" s="28">
        <f>COUNTIFS('KK Penjaminan Kualitas'!$T$6:$T$676,$S42,'KK Penjaminan Kualitas'!$J$6:$J$676,"&lt;&gt;")</f>
        <v/>
      </c>
      <c r="G42" s="28">
        <f>COUNTIFS('KK Penjaminan Kualitas'!$T$6:$T$676,$S42,'KK Penjaminan Kualitas'!$L$6:$L$676,"N/A")</f>
        <v/>
      </c>
      <c r="H42" s="28">
        <f>SUMPRODUCT(('KK Penjaminan Kualitas'!$T$6:$T$676=$S42)*ISNUMBER('KK Penjaminan Kualitas'!$R$6:$R$676))</f>
        <v/>
      </c>
      <c r="I42" s="28">
        <f>F42-G42-H42</f>
        <v/>
      </c>
      <c r="J42" s="63">
        <f>IFERROR(SUMIFS('KK Penjaminan Kualitas'!$R$6:$R$676,'KK Penjaminan Kualitas'!$T$6:$T$676,$S42,'KK Penjaminan Kualitas'!$E$6:$E$676,"E")/SUMPRODUCT(('KK Penjaminan Kualitas'!$T$6:$T$676=$S42)*('KK Penjaminan Kualitas'!$E$6:$E$676="E")*ISNUMBER('KK Penjaminan Kualitas'!$R$6:$R$676)),"")</f>
        <v/>
      </c>
      <c r="K42" s="63">
        <f>IFERROR(SUMIFS('KK Penjaminan Kualitas'!$R$6:$R$676,'KK Penjaminan Kualitas'!$T$6:$T$676,$S42,'KK Penjaminan Kualitas'!$E$6:$E$676,"D")/SUMPRODUCT(('KK Penjaminan Kualitas'!$T$6:$T$676=$S42)*('KK Penjaminan Kualitas'!$E$6:$E$676="D")*ISNUMBER('KK Penjaminan Kualitas'!$R$6:$R$676)),"")</f>
        <v/>
      </c>
      <c r="L42" s="63">
        <f>IFERROR(SUMIFS('KK Penjaminan Kualitas'!$R$6:$R$676,'KK Penjaminan Kualitas'!$T$6:$T$676,$S42,'KK Penjaminan Kualitas'!$E$6:$E$676,"C")/SUMPRODUCT(('KK Penjaminan Kualitas'!$T$6:$T$676=$S42)*('KK Penjaminan Kualitas'!$E$6:$E$676="C")*ISNUMBER('KK Penjaminan Kualitas'!$R$6:$R$676)),"")</f>
        <v/>
      </c>
      <c r="M42" s="63">
        <f>IFERROR(SUMIFS('KK Penjaminan Kualitas'!$R$6:$R$676,'KK Penjaminan Kualitas'!$T$6:$T$676,$S42,'KK Penjaminan Kualitas'!$E$6:$E$676,"B")/SUMPRODUCT(('KK Penjaminan Kualitas'!$T$6:$T$676=$S42)*('KK Penjaminan Kualitas'!$E$6:$E$676="B")*ISNUMBER('KK Penjaminan Kualitas'!$R$6:$R$676)),"")</f>
        <v/>
      </c>
      <c r="N42" s="63">
        <f>IFERROR(SUMIFS('KK Penjaminan Kualitas'!$R$6:$R$676,'KK Penjaminan Kualitas'!$T$6:$T$676,$S42,'KK Penjaminan Kualitas'!$E$6:$E$676,"A")/SUMPRODUCT(('KK Penjaminan Kualitas'!$T$6:$T$676=$S42)*('KK Penjaminan Kualitas'!$E$6:$E$676="A")*ISNUMBER('KK Penjaminan Kualitas'!$R$6:$R$676)),"")</f>
        <v/>
      </c>
      <c r="O42" s="38">
        <f>IF(H42=0,"",SUMIFS('KK Penjaminan Kualitas'!$R$6:$R$676,'KK Penjaminan Kualitas'!$T$6:$T$676,$S42)/H42)</f>
        <v/>
      </c>
      <c r="P42" s="30">
        <f>IF(Q42="","",IF(Q42=0,"&lt; E",MID("EDCBA",Q42,1)))</f>
        <v/>
      </c>
      <c r="Q42" s="30">
        <f>IF(H42=0,"",IF(NOT(AND(ISNUMBER(J42),J42&gt;=Petunjuk!$C$14)),0,IF(NOT(AND(ISNUMBER(K42),K42&gt;=Petunjuk!$C$14)),1,IF(NOT(AND(ISNUMBER(L42),L42&gt;=Petunjuk!$C$14)),2,IF(NOT(AND(ISNUMBER(M42),M42&gt;=Petunjuk!$C$14)),3,IF(NOT(AND(ISNUMBER(N42),N42&gt;=Petunjuk!$C$14)),4,5))))))</f>
        <v/>
      </c>
      <c r="R42" s="37">
        <f>IF(Q42="","Belum dinilai",IF(Q42=5,"Seluruh grade terpenuhi","Lengkapi evidence Grade "&amp;MID("EDCBA",Q42+1,1)&amp;IF(I42&gt;0," ("&amp;I42&amp;" item belum dinilai)","")))</f>
        <v/>
      </c>
      <c r="S42" s="39" t="inlineStr">
        <is>
          <t>4.2-1</t>
        </is>
      </c>
    </row>
    <row r="43" ht="46.5" customHeight="1">
      <c r="A43" s="28" t="n">
        <v>39</v>
      </c>
      <c r="B43" s="28" t="inlineStr">
        <is>
          <t>5.1</t>
        </is>
      </c>
      <c r="C43" s="37" t="inlineStr">
        <is>
          <t>Pemantauan Berkelanjutan</t>
        </is>
      </c>
      <c r="D43" s="28" t="n">
        <v>1</v>
      </c>
      <c r="E43" s="37">
        <f>IFERROR(INDEX(FILTER('KK Penjaminan Kualitas'!$D$6:$D$676,'KK Penjaminan Kualitas'!$A$6:$A$676=B43,'KK Penjaminan Kualitas'!$C$6:$C$676=D43),1),"")</f>
        <v/>
      </c>
      <c r="F43" s="28">
        <f>COUNTIFS('KK Penjaminan Kualitas'!$T$6:$T$676,$S43,'KK Penjaminan Kualitas'!$J$6:$J$676,"&lt;&gt;")</f>
        <v/>
      </c>
      <c r="G43" s="28">
        <f>COUNTIFS('KK Penjaminan Kualitas'!$T$6:$T$676,$S43,'KK Penjaminan Kualitas'!$L$6:$L$676,"N/A")</f>
        <v/>
      </c>
      <c r="H43" s="28">
        <f>SUMPRODUCT(('KK Penjaminan Kualitas'!$T$6:$T$676=$S43)*ISNUMBER('KK Penjaminan Kualitas'!$R$6:$R$676))</f>
        <v/>
      </c>
      <c r="I43" s="28">
        <f>F43-G43-H43</f>
        <v/>
      </c>
      <c r="J43" s="63">
        <f>IFERROR(SUMIFS('KK Penjaminan Kualitas'!$R$6:$R$676,'KK Penjaminan Kualitas'!$T$6:$T$676,$S43,'KK Penjaminan Kualitas'!$E$6:$E$676,"E")/SUMPRODUCT(('KK Penjaminan Kualitas'!$T$6:$T$676=$S43)*('KK Penjaminan Kualitas'!$E$6:$E$676="E")*ISNUMBER('KK Penjaminan Kualitas'!$R$6:$R$676)),"")</f>
        <v/>
      </c>
      <c r="K43" s="63">
        <f>IFERROR(SUMIFS('KK Penjaminan Kualitas'!$R$6:$R$676,'KK Penjaminan Kualitas'!$T$6:$T$676,$S43,'KK Penjaminan Kualitas'!$E$6:$E$676,"D")/SUMPRODUCT(('KK Penjaminan Kualitas'!$T$6:$T$676=$S43)*('KK Penjaminan Kualitas'!$E$6:$E$676="D")*ISNUMBER('KK Penjaminan Kualitas'!$R$6:$R$676)),"")</f>
        <v/>
      </c>
      <c r="L43" s="63">
        <f>IFERROR(SUMIFS('KK Penjaminan Kualitas'!$R$6:$R$676,'KK Penjaminan Kualitas'!$T$6:$T$676,$S43,'KK Penjaminan Kualitas'!$E$6:$E$676,"C")/SUMPRODUCT(('KK Penjaminan Kualitas'!$T$6:$T$676=$S43)*('KK Penjaminan Kualitas'!$E$6:$E$676="C")*ISNUMBER('KK Penjaminan Kualitas'!$R$6:$R$676)),"")</f>
        <v/>
      </c>
      <c r="M43" s="63">
        <f>IFERROR(SUMIFS('KK Penjaminan Kualitas'!$R$6:$R$676,'KK Penjaminan Kualitas'!$T$6:$T$676,$S43,'KK Penjaminan Kualitas'!$E$6:$E$676,"B")/SUMPRODUCT(('KK Penjaminan Kualitas'!$T$6:$T$676=$S43)*('KK Penjaminan Kualitas'!$E$6:$E$676="B")*ISNUMBER('KK Penjaminan Kualitas'!$R$6:$R$676)),"")</f>
        <v/>
      </c>
      <c r="N43" s="63">
        <f>IFERROR(SUMIFS('KK Penjaminan Kualitas'!$R$6:$R$676,'KK Penjaminan Kualitas'!$T$6:$T$676,$S43,'KK Penjaminan Kualitas'!$E$6:$E$676,"A")/SUMPRODUCT(('KK Penjaminan Kualitas'!$T$6:$T$676=$S43)*('KK Penjaminan Kualitas'!$E$6:$E$676="A")*ISNUMBER('KK Penjaminan Kualitas'!$R$6:$R$676)),"")</f>
        <v/>
      </c>
      <c r="O43" s="38">
        <f>IF(H43=0,"",SUMIFS('KK Penjaminan Kualitas'!$R$6:$R$676,'KK Penjaminan Kualitas'!$T$6:$T$676,$S43)/H43)</f>
        <v/>
      </c>
      <c r="P43" s="30">
        <f>IF(Q43="","",IF(Q43=0,"&lt; E",MID("EDCBA",Q43,1)))</f>
        <v/>
      </c>
      <c r="Q43" s="30">
        <f>IF(H43=0,"",IF(NOT(AND(ISNUMBER(J43),J43&gt;=Petunjuk!$C$14)),0,IF(NOT(AND(ISNUMBER(K43),K43&gt;=Petunjuk!$C$14)),1,IF(NOT(AND(ISNUMBER(L43),L43&gt;=Petunjuk!$C$14)),2,IF(NOT(AND(ISNUMBER(M43),M43&gt;=Petunjuk!$C$14)),3,IF(NOT(AND(ISNUMBER(N43),N43&gt;=Petunjuk!$C$14)),4,5))))))</f>
        <v/>
      </c>
      <c r="R43" s="37">
        <f>IF(Q43="","Belum dinilai",IF(Q43=5,"Seluruh grade terpenuhi","Lengkapi evidence Grade "&amp;MID("EDCBA",Q43+1,1)&amp;IF(I43&gt;0," ("&amp;I43&amp;" item belum dinilai)","")))</f>
        <v/>
      </c>
      <c r="S43" s="39" t="inlineStr">
        <is>
          <t>5.1-1</t>
        </is>
      </c>
    </row>
    <row r="44">
      <c r="A44" s="28" t="n">
        <v>40</v>
      </c>
      <c r="B44" s="28" t="inlineStr">
        <is>
          <t>5.1</t>
        </is>
      </c>
      <c r="C44" s="37" t="inlineStr">
        <is>
          <t>Pemantauan Berkelanjutan</t>
        </is>
      </c>
      <c r="D44" s="28" t="n">
        <v>2</v>
      </c>
      <c r="E44" s="37">
        <f>IFERROR(INDEX(FILTER('KK Penjaminan Kualitas'!$D$6:$D$676,'KK Penjaminan Kualitas'!$A$6:$A$676=B44,'KK Penjaminan Kualitas'!$C$6:$C$676=D44),1),"")</f>
        <v/>
      </c>
      <c r="F44" s="28">
        <f>COUNTIFS('KK Penjaminan Kualitas'!$T$6:$T$676,$S44,'KK Penjaminan Kualitas'!$J$6:$J$676,"&lt;&gt;")</f>
        <v/>
      </c>
      <c r="G44" s="28">
        <f>COUNTIFS('KK Penjaminan Kualitas'!$T$6:$T$676,$S44,'KK Penjaminan Kualitas'!$L$6:$L$676,"N/A")</f>
        <v/>
      </c>
      <c r="H44" s="28">
        <f>SUMPRODUCT(('KK Penjaminan Kualitas'!$T$6:$T$676=$S44)*ISNUMBER('KK Penjaminan Kualitas'!$R$6:$R$676))</f>
        <v/>
      </c>
      <c r="I44" s="28">
        <f>F44-G44-H44</f>
        <v/>
      </c>
      <c r="J44" s="63">
        <f>IFERROR(SUMIFS('KK Penjaminan Kualitas'!$R$6:$R$676,'KK Penjaminan Kualitas'!$T$6:$T$676,$S44,'KK Penjaminan Kualitas'!$E$6:$E$676,"E")/SUMPRODUCT(('KK Penjaminan Kualitas'!$T$6:$T$676=$S44)*('KK Penjaminan Kualitas'!$E$6:$E$676="E")*ISNUMBER('KK Penjaminan Kualitas'!$R$6:$R$676)),"")</f>
        <v/>
      </c>
      <c r="K44" s="63">
        <f>IFERROR(SUMIFS('KK Penjaminan Kualitas'!$R$6:$R$676,'KK Penjaminan Kualitas'!$T$6:$T$676,$S44,'KK Penjaminan Kualitas'!$E$6:$E$676,"D")/SUMPRODUCT(('KK Penjaminan Kualitas'!$T$6:$T$676=$S44)*('KK Penjaminan Kualitas'!$E$6:$E$676="D")*ISNUMBER('KK Penjaminan Kualitas'!$R$6:$R$676)),"")</f>
        <v/>
      </c>
      <c r="L44" s="63">
        <f>IFERROR(SUMIFS('KK Penjaminan Kualitas'!$R$6:$R$676,'KK Penjaminan Kualitas'!$T$6:$T$676,$S44,'KK Penjaminan Kualitas'!$E$6:$E$676,"C")/SUMPRODUCT(('KK Penjaminan Kualitas'!$T$6:$T$676=$S44)*('KK Penjaminan Kualitas'!$E$6:$E$676="C")*ISNUMBER('KK Penjaminan Kualitas'!$R$6:$R$676)),"")</f>
        <v/>
      </c>
      <c r="M44" s="63">
        <f>IFERROR(SUMIFS('KK Penjaminan Kualitas'!$R$6:$R$676,'KK Penjaminan Kualitas'!$T$6:$T$676,$S44,'KK Penjaminan Kualitas'!$E$6:$E$676,"B")/SUMPRODUCT(('KK Penjaminan Kualitas'!$T$6:$T$676=$S44)*('KK Penjaminan Kualitas'!$E$6:$E$676="B")*ISNUMBER('KK Penjaminan Kualitas'!$R$6:$R$676)),"")</f>
        <v/>
      </c>
      <c r="N44" s="63">
        <f>IFERROR(SUMIFS('KK Penjaminan Kualitas'!$R$6:$R$676,'KK Penjaminan Kualitas'!$T$6:$T$676,$S44,'KK Penjaminan Kualitas'!$E$6:$E$676,"A")/SUMPRODUCT(('KK Penjaminan Kualitas'!$T$6:$T$676=$S44)*('KK Penjaminan Kualitas'!$E$6:$E$676="A")*ISNUMBER('KK Penjaminan Kualitas'!$R$6:$R$676)),"")</f>
        <v/>
      </c>
      <c r="O44" s="38">
        <f>IF(H44=0,"",SUMIFS('KK Penjaminan Kualitas'!$R$6:$R$676,'KK Penjaminan Kualitas'!$T$6:$T$676,$S44)/H44)</f>
        <v/>
      </c>
      <c r="P44" s="30">
        <f>IF(Q44="","",IF(Q44=0,"&lt; E",MID("EDCBA",Q44,1)))</f>
        <v/>
      </c>
      <c r="Q44" s="30">
        <f>IF(H44=0,"",IF(NOT(AND(ISNUMBER(J44),J44&gt;=Petunjuk!$C$14)),0,IF(NOT(AND(ISNUMBER(K44),K44&gt;=Petunjuk!$C$14)),1,IF(NOT(AND(ISNUMBER(L44),L44&gt;=Petunjuk!$C$14)),2,IF(NOT(AND(ISNUMBER(M44),M44&gt;=Petunjuk!$C$14)),3,IF(NOT(AND(ISNUMBER(N44),N44&gt;=Petunjuk!$C$14)),4,5))))))</f>
        <v/>
      </c>
      <c r="R44" s="37">
        <f>IF(Q44="","Belum dinilai",IF(Q44=5,"Seluruh grade terpenuhi","Lengkapi evidence Grade "&amp;MID("EDCBA",Q44+1,1)&amp;IF(I44&gt;0," ("&amp;I44&amp;" item belum dinilai)","")))</f>
        <v/>
      </c>
      <c r="S44" s="39" t="inlineStr">
        <is>
          <t>5.1-2</t>
        </is>
      </c>
    </row>
    <row r="45">
      <c r="A45" s="28" t="n">
        <v>41</v>
      </c>
      <c r="B45" s="28" t="inlineStr">
        <is>
          <t>5.1</t>
        </is>
      </c>
      <c r="C45" s="37" t="inlineStr">
        <is>
          <t>Pemantauan Berkelanjutan</t>
        </is>
      </c>
      <c r="D45" s="28" t="n">
        <v>3</v>
      </c>
      <c r="E45" s="37">
        <f>IFERROR(INDEX(FILTER('KK Penjaminan Kualitas'!$D$6:$D$676,'KK Penjaminan Kualitas'!$A$6:$A$676=B45,'KK Penjaminan Kualitas'!$C$6:$C$676=D45),1),"")</f>
        <v/>
      </c>
      <c r="F45" s="28">
        <f>COUNTIFS('KK Penjaminan Kualitas'!$T$6:$T$676,$S45,'KK Penjaminan Kualitas'!$J$6:$J$676,"&lt;&gt;")</f>
        <v/>
      </c>
      <c r="G45" s="28">
        <f>COUNTIFS('KK Penjaminan Kualitas'!$T$6:$T$676,$S45,'KK Penjaminan Kualitas'!$L$6:$L$676,"N/A")</f>
        <v/>
      </c>
      <c r="H45" s="28">
        <f>SUMPRODUCT(('KK Penjaminan Kualitas'!$T$6:$T$676=$S45)*ISNUMBER('KK Penjaminan Kualitas'!$R$6:$R$676))</f>
        <v/>
      </c>
      <c r="I45" s="28">
        <f>F45-G45-H45</f>
        <v/>
      </c>
      <c r="J45" s="63">
        <f>IFERROR(SUMIFS('KK Penjaminan Kualitas'!$R$6:$R$676,'KK Penjaminan Kualitas'!$T$6:$T$676,$S45,'KK Penjaminan Kualitas'!$E$6:$E$676,"E")/SUMPRODUCT(('KK Penjaminan Kualitas'!$T$6:$T$676=$S45)*('KK Penjaminan Kualitas'!$E$6:$E$676="E")*ISNUMBER('KK Penjaminan Kualitas'!$R$6:$R$676)),"")</f>
        <v/>
      </c>
      <c r="K45" s="63">
        <f>IFERROR(SUMIFS('KK Penjaminan Kualitas'!$R$6:$R$676,'KK Penjaminan Kualitas'!$T$6:$T$676,$S45,'KK Penjaminan Kualitas'!$E$6:$E$676,"D")/SUMPRODUCT(('KK Penjaminan Kualitas'!$T$6:$T$676=$S45)*('KK Penjaminan Kualitas'!$E$6:$E$676="D")*ISNUMBER('KK Penjaminan Kualitas'!$R$6:$R$676)),"")</f>
        <v/>
      </c>
      <c r="L45" s="63">
        <f>IFERROR(SUMIFS('KK Penjaminan Kualitas'!$R$6:$R$676,'KK Penjaminan Kualitas'!$T$6:$T$676,$S45,'KK Penjaminan Kualitas'!$E$6:$E$676,"C")/SUMPRODUCT(('KK Penjaminan Kualitas'!$T$6:$T$676=$S45)*('KK Penjaminan Kualitas'!$E$6:$E$676="C")*ISNUMBER('KK Penjaminan Kualitas'!$R$6:$R$676)),"")</f>
        <v/>
      </c>
      <c r="M45" s="63">
        <f>IFERROR(SUMIFS('KK Penjaminan Kualitas'!$R$6:$R$676,'KK Penjaminan Kualitas'!$T$6:$T$676,$S45,'KK Penjaminan Kualitas'!$E$6:$E$676,"B")/SUMPRODUCT(('KK Penjaminan Kualitas'!$T$6:$T$676=$S45)*('KK Penjaminan Kualitas'!$E$6:$E$676="B")*ISNUMBER('KK Penjaminan Kualitas'!$R$6:$R$676)),"")</f>
        <v/>
      </c>
      <c r="N45" s="63">
        <f>IFERROR(SUMIFS('KK Penjaminan Kualitas'!$R$6:$R$676,'KK Penjaminan Kualitas'!$T$6:$T$676,$S45,'KK Penjaminan Kualitas'!$E$6:$E$676,"A")/SUMPRODUCT(('KK Penjaminan Kualitas'!$T$6:$T$676=$S45)*('KK Penjaminan Kualitas'!$E$6:$E$676="A")*ISNUMBER('KK Penjaminan Kualitas'!$R$6:$R$676)),"")</f>
        <v/>
      </c>
      <c r="O45" s="38">
        <f>IF(H45=0,"",SUMIFS('KK Penjaminan Kualitas'!$R$6:$R$676,'KK Penjaminan Kualitas'!$T$6:$T$676,$S45)/H45)</f>
        <v/>
      </c>
      <c r="P45" s="30">
        <f>IF(Q45="","",IF(Q45=0,"&lt; E",MID("EDCBA",Q45,1)))</f>
        <v/>
      </c>
      <c r="Q45" s="30">
        <f>IF(H45=0,"",IF(NOT(AND(ISNUMBER(J45),J45&gt;=Petunjuk!$C$14)),0,IF(NOT(AND(ISNUMBER(K45),K45&gt;=Petunjuk!$C$14)),1,IF(NOT(AND(ISNUMBER(L45),L45&gt;=Petunjuk!$C$14)),2,IF(NOT(AND(ISNUMBER(M45),M45&gt;=Petunjuk!$C$14)),3,IF(NOT(AND(ISNUMBER(N45),N45&gt;=Petunjuk!$C$14)),4,5))))))</f>
        <v/>
      </c>
      <c r="R45" s="37">
        <f>IF(Q45="","Belum dinilai",IF(Q45=5,"Seluruh grade terpenuhi","Lengkapi evidence Grade "&amp;MID("EDCBA",Q45+1,1)&amp;IF(I45&gt;0," ("&amp;I45&amp;" item belum dinilai)","")))</f>
        <v/>
      </c>
      <c r="S45" s="39" t="inlineStr">
        <is>
          <t>5.1-3</t>
        </is>
      </c>
    </row>
    <row r="46" ht="81.40000000000001" customHeight="1">
      <c r="A46" s="28" t="n">
        <v>42</v>
      </c>
      <c r="B46" s="28" t="inlineStr">
        <is>
          <t>5.2</t>
        </is>
      </c>
      <c r="C46" s="37" t="inlineStr">
        <is>
          <t>Evaluasi Terpisah</t>
        </is>
      </c>
      <c r="D46" s="28" t="n">
        <v>1</v>
      </c>
      <c r="E46" s="37">
        <f>IFERROR(INDEX(FILTER('KK Penjaminan Kualitas'!$D$6:$D$676,'KK Penjaminan Kualitas'!$A$6:$A$676=B46,'KK Penjaminan Kualitas'!$C$6:$C$676=D46),1),"")</f>
        <v/>
      </c>
      <c r="F46" s="28">
        <f>COUNTIFS('KK Penjaminan Kualitas'!$T$6:$T$676,$S46,'KK Penjaminan Kualitas'!$J$6:$J$676,"&lt;&gt;")</f>
        <v/>
      </c>
      <c r="G46" s="28">
        <f>COUNTIFS('KK Penjaminan Kualitas'!$T$6:$T$676,$S46,'KK Penjaminan Kualitas'!$L$6:$L$676,"N/A")</f>
        <v/>
      </c>
      <c r="H46" s="28">
        <f>SUMPRODUCT(('KK Penjaminan Kualitas'!$T$6:$T$676=$S46)*ISNUMBER('KK Penjaminan Kualitas'!$R$6:$R$676))</f>
        <v/>
      </c>
      <c r="I46" s="28">
        <f>F46-G46-H46</f>
        <v/>
      </c>
      <c r="J46" s="63">
        <f>IFERROR(SUMIFS('KK Penjaminan Kualitas'!$R$6:$R$676,'KK Penjaminan Kualitas'!$T$6:$T$676,$S46,'KK Penjaminan Kualitas'!$E$6:$E$676,"E")/SUMPRODUCT(('KK Penjaminan Kualitas'!$T$6:$T$676=$S46)*('KK Penjaminan Kualitas'!$E$6:$E$676="E")*ISNUMBER('KK Penjaminan Kualitas'!$R$6:$R$676)),"")</f>
        <v/>
      </c>
      <c r="K46" s="63">
        <f>IFERROR(SUMIFS('KK Penjaminan Kualitas'!$R$6:$R$676,'KK Penjaminan Kualitas'!$T$6:$T$676,$S46,'KK Penjaminan Kualitas'!$E$6:$E$676,"D")/SUMPRODUCT(('KK Penjaminan Kualitas'!$T$6:$T$676=$S46)*('KK Penjaminan Kualitas'!$E$6:$E$676="D")*ISNUMBER('KK Penjaminan Kualitas'!$R$6:$R$676)),"")</f>
        <v/>
      </c>
      <c r="L46" s="63">
        <f>IFERROR(SUMIFS('KK Penjaminan Kualitas'!$R$6:$R$676,'KK Penjaminan Kualitas'!$T$6:$T$676,$S46,'KK Penjaminan Kualitas'!$E$6:$E$676,"C")/SUMPRODUCT(('KK Penjaminan Kualitas'!$T$6:$T$676=$S46)*('KK Penjaminan Kualitas'!$E$6:$E$676="C")*ISNUMBER('KK Penjaminan Kualitas'!$R$6:$R$676)),"")</f>
        <v/>
      </c>
      <c r="M46" s="63">
        <f>IFERROR(SUMIFS('KK Penjaminan Kualitas'!$R$6:$R$676,'KK Penjaminan Kualitas'!$T$6:$T$676,$S46,'KK Penjaminan Kualitas'!$E$6:$E$676,"B")/SUMPRODUCT(('KK Penjaminan Kualitas'!$T$6:$T$676=$S46)*('KK Penjaminan Kualitas'!$E$6:$E$676="B")*ISNUMBER('KK Penjaminan Kualitas'!$R$6:$R$676)),"")</f>
        <v/>
      </c>
      <c r="N46" s="63">
        <f>IFERROR(SUMIFS('KK Penjaminan Kualitas'!$R$6:$R$676,'KK Penjaminan Kualitas'!$T$6:$T$676,$S46,'KK Penjaminan Kualitas'!$E$6:$E$676,"A")/SUMPRODUCT(('KK Penjaminan Kualitas'!$T$6:$T$676=$S46)*('KK Penjaminan Kualitas'!$E$6:$E$676="A")*ISNUMBER('KK Penjaminan Kualitas'!$R$6:$R$676)),"")</f>
        <v/>
      </c>
      <c r="O46" s="38">
        <f>IF(H46=0,"",SUMIFS('KK Penjaminan Kualitas'!$R$6:$R$676,'KK Penjaminan Kualitas'!$T$6:$T$676,$S46)/H46)</f>
        <v/>
      </c>
      <c r="P46" s="30">
        <f>IF(Q46="","",IF(Q46=0,"&lt; E",MID("EDCBA",Q46,1)))</f>
        <v/>
      </c>
      <c r="Q46" s="30">
        <f>IF(H46=0,"",IF(NOT(AND(ISNUMBER(J46),J46&gt;=Petunjuk!$C$14)),0,IF(NOT(AND(ISNUMBER(K46),K46&gt;=Petunjuk!$C$14)),1,IF(NOT(AND(ISNUMBER(L46),L46&gt;=Petunjuk!$C$14)),2,IF(NOT(AND(ISNUMBER(M46),M46&gt;=Petunjuk!$C$14)),3,IF(NOT(AND(ISNUMBER(N46),N46&gt;=Petunjuk!$C$14)),4,5))))))</f>
        <v/>
      </c>
      <c r="R46" s="37">
        <f>IF(Q46="","Belum dinilai",IF(Q46=5,"Seluruh grade terpenuhi","Lengkapi evidence Grade "&amp;MID("EDCBA",Q46+1,1)&amp;IF(I46&gt;0," ("&amp;I46&amp;" item belum dinilai)","")))</f>
        <v/>
      </c>
      <c r="S46" s="39" t="inlineStr">
        <is>
          <t>5.2-1</t>
        </is>
      </c>
    </row>
    <row r="47" ht="23.25" customHeight="1">
      <c r="A47" s="28" t="n">
        <v>43</v>
      </c>
      <c r="B47" s="28" t="inlineStr">
        <is>
          <t>5.2</t>
        </is>
      </c>
      <c r="C47" s="37" t="inlineStr">
        <is>
          <t>Evaluasi Terpisah</t>
        </is>
      </c>
      <c r="D47" s="28" t="n">
        <v>2</v>
      </c>
      <c r="E47" s="37">
        <f>IFERROR(INDEX(FILTER('KK Penjaminan Kualitas'!$D$6:$D$676,'KK Penjaminan Kualitas'!$A$6:$A$676=B47,'KK Penjaminan Kualitas'!$C$6:$C$676=D47),1),"")</f>
        <v/>
      </c>
      <c r="F47" s="28">
        <f>COUNTIFS('KK Penjaminan Kualitas'!$T$6:$T$676,$S47,'KK Penjaminan Kualitas'!$J$6:$J$676,"&lt;&gt;")</f>
        <v/>
      </c>
      <c r="G47" s="28">
        <f>COUNTIFS('KK Penjaminan Kualitas'!$T$6:$T$676,$S47,'KK Penjaminan Kualitas'!$L$6:$L$676,"N/A")</f>
        <v/>
      </c>
      <c r="H47" s="28">
        <f>SUMPRODUCT(('KK Penjaminan Kualitas'!$T$6:$T$676=$S47)*ISNUMBER('KK Penjaminan Kualitas'!$R$6:$R$676))</f>
        <v/>
      </c>
      <c r="I47" s="28">
        <f>F47-G47-H47</f>
        <v/>
      </c>
      <c r="J47" s="63">
        <f>IFERROR(SUMIFS('KK Penjaminan Kualitas'!$R$6:$R$676,'KK Penjaminan Kualitas'!$T$6:$T$676,$S47,'KK Penjaminan Kualitas'!$E$6:$E$676,"E")/SUMPRODUCT(('KK Penjaminan Kualitas'!$T$6:$T$676=$S47)*('KK Penjaminan Kualitas'!$E$6:$E$676="E")*ISNUMBER('KK Penjaminan Kualitas'!$R$6:$R$676)),"")</f>
        <v/>
      </c>
      <c r="K47" s="63">
        <f>IFERROR(SUMIFS('KK Penjaminan Kualitas'!$R$6:$R$676,'KK Penjaminan Kualitas'!$T$6:$T$676,$S47,'KK Penjaminan Kualitas'!$E$6:$E$676,"D")/SUMPRODUCT(('KK Penjaminan Kualitas'!$T$6:$T$676=$S47)*('KK Penjaminan Kualitas'!$E$6:$E$676="D")*ISNUMBER('KK Penjaminan Kualitas'!$R$6:$R$676)),"")</f>
        <v/>
      </c>
      <c r="L47" s="63">
        <f>IFERROR(SUMIFS('KK Penjaminan Kualitas'!$R$6:$R$676,'KK Penjaminan Kualitas'!$T$6:$T$676,$S47,'KK Penjaminan Kualitas'!$E$6:$E$676,"C")/SUMPRODUCT(('KK Penjaminan Kualitas'!$T$6:$T$676=$S47)*('KK Penjaminan Kualitas'!$E$6:$E$676="C")*ISNUMBER('KK Penjaminan Kualitas'!$R$6:$R$676)),"")</f>
        <v/>
      </c>
      <c r="M47" s="63">
        <f>IFERROR(SUMIFS('KK Penjaminan Kualitas'!$R$6:$R$676,'KK Penjaminan Kualitas'!$T$6:$T$676,$S47,'KK Penjaminan Kualitas'!$E$6:$E$676,"B")/SUMPRODUCT(('KK Penjaminan Kualitas'!$T$6:$T$676=$S47)*('KK Penjaminan Kualitas'!$E$6:$E$676="B")*ISNUMBER('KK Penjaminan Kualitas'!$R$6:$R$676)),"")</f>
        <v/>
      </c>
      <c r="N47" s="63">
        <f>IFERROR(SUMIFS('KK Penjaminan Kualitas'!$R$6:$R$676,'KK Penjaminan Kualitas'!$T$6:$T$676,$S47,'KK Penjaminan Kualitas'!$E$6:$E$676,"A")/SUMPRODUCT(('KK Penjaminan Kualitas'!$T$6:$T$676=$S47)*('KK Penjaminan Kualitas'!$E$6:$E$676="A")*ISNUMBER('KK Penjaminan Kualitas'!$R$6:$R$676)),"")</f>
        <v/>
      </c>
      <c r="O47" s="38">
        <f>IF(H47=0,"",SUMIFS('KK Penjaminan Kualitas'!$R$6:$R$676,'KK Penjaminan Kualitas'!$T$6:$T$676,$S47)/H47)</f>
        <v/>
      </c>
      <c r="P47" s="30">
        <f>IF(Q47="","",IF(Q47=0,"&lt; E",MID("EDCBA",Q47,1)))</f>
        <v/>
      </c>
      <c r="Q47" s="30">
        <f>IF(H47=0,"",IF(NOT(AND(ISNUMBER(J47),J47&gt;=Petunjuk!$C$14)),0,IF(NOT(AND(ISNUMBER(K47),K47&gt;=Petunjuk!$C$14)),1,IF(NOT(AND(ISNUMBER(L47),L47&gt;=Petunjuk!$C$14)),2,IF(NOT(AND(ISNUMBER(M47),M47&gt;=Petunjuk!$C$14)),3,IF(NOT(AND(ISNUMBER(N47),N47&gt;=Petunjuk!$C$14)),4,5))))))</f>
        <v/>
      </c>
      <c r="R47" s="37">
        <f>IF(Q47="","Belum dinilai",IF(Q47=5,"Seluruh grade terpenuhi","Lengkapi evidence Grade "&amp;MID("EDCBA",Q47+1,1)&amp;IF(I47&gt;0," ("&amp;I47&amp;" item belum dinilai)","")))</f>
        <v/>
      </c>
      <c r="S47" s="39" t="inlineStr">
        <is>
          <t>5.2-2</t>
        </is>
      </c>
    </row>
    <row r="48">
      <c r="E48" s="36">
        <f>IFERROR(INDEX(FILTER('KK Penjaminan Kualitas'!$D$6:$D$676,'KK Penjaminan Kualitas'!$A$6:$A$676=B48,'KK Penjaminan Kualitas'!$C$6:$C$676=D48),1),"")</f>
        <v/>
      </c>
      <c r="F48" s="40">
        <f>SUM(F5:F47)</f>
        <v/>
      </c>
      <c r="G48" s="40">
        <f>SUM(G5:G47)</f>
        <v/>
      </c>
      <c r="H48" s="40">
        <f>SUM(H5:H47)</f>
        <v/>
      </c>
      <c r="I48" s="40">
        <f>SUM(I5:I47)</f>
        <v/>
      </c>
      <c r="J48" s="41">
        <f>IFERROR(SUMIFS('KK Penjaminan Kualitas'!$R$6:$R$676,'KK Penjaminan Kualitas'!$E$6:$E$676,"E")/SUMPRODUCT(('KK Penjaminan Kualitas'!$E$6:$E$676="E")*ISNUMBER('KK Penjaminan Kualitas'!$R$6:$R$676)),"")</f>
        <v/>
      </c>
      <c r="K48" s="41">
        <f>IFERROR(SUMIFS('KK Penjaminan Kualitas'!$R$6:$R$676,'KK Penjaminan Kualitas'!$E$6:$E$676,"D")/SUMPRODUCT(('KK Penjaminan Kualitas'!$E$6:$E$676="D")*ISNUMBER('KK Penjaminan Kualitas'!$R$6:$R$676)),"")</f>
        <v/>
      </c>
      <c r="L48" s="41">
        <f>IFERROR(SUMIFS('KK Penjaminan Kualitas'!$R$6:$R$676,'KK Penjaminan Kualitas'!$E$6:$E$676,"C")/SUMPRODUCT(('KK Penjaminan Kualitas'!$E$6:$E$676="C")*ISNUMBER('KK Penjaminan Kualitas'!$R$6:$R$676)),"")</f>
        <v/>
      </c>
      <c r="M48" s="41">
        <f>IFERROR(SUMIFS('KK Penjaminan Kualitas'!$R$6:$R$676,'KK Penjaminan Kualitas'!$E$6:$E$676,"B")/SUMPRODUCT(('KK Penjaminan Kualitas'!$E$6:$E$676="B")*ISNUMBER('KK Penjaminan Kualitas'!$R$6:$R$676)),"")</f>
        <v/>
      </c>
      <c r="N48" s="41">
        <f>IFERROR(SUMIFS('KK Penjaminan Kualitas'!$R$6:$R$676,'KK Penjaminan Kualitas'!$E$6:$E$676,"A")/SUMPRODUCT(('KK Penjaminan Kualitas'!$E$6:$E$676="A")*ISNUMBER('KK Penjaminan Kualitas'!$R$6:$R$676)),"")</f>
        <v/>
      </c>
      <c r="O48" s="42">
        <f>IF(H48=0,"",SUM('KK Penjaminan Kualitas'!$R$6:$R$676)/H48)</f>
        <v/>
      </c>
    </row>
    <row r="49">
      <c r="E49" s="9">
        <f>IFERROR(INDEX(FILTER('KK Penjaminan Kualitas'!$D$6:$D$676,'KK Penjaminan Kualitas'!$A$6:$A$676=B49,'KK Penjaminan Kualitas'!$C$6:$C$676=D49),1),"")</f>
        <v/>
      </c>
      <c r="O49" s="43">
        <f>COUNTIF(Q5:Q47,"&gt;=3")&amp;" dari "&amp;COUNTA(D5:D47)</f>
        <v/>
      </c>
    </row>
    <row r="50">
      <c r="E50">
        <f>IFERROR(INDEX(FILTER('KK Penjaminan Kualitas'!$D$6:$D$676,'KK Penjaminan Kualitas'!$A$6:$A$676=B50,'KK Penjaminan Kualitas'!$C$6:$C$676=D50),1),"")</f>
        <v/>
      </c>
    </row>
    <row r="51">
      <c r="B51" s="44" t="inlineStr">
        <is>
          <t>Keterangan: % Grade = Σ nilai item ÷ item dinilai (di luar N/A) pada grade tersebut. Grade Indikatif dihitung berjenjang dari E ke A dengan ambang batas pada Petunjuk!C14. Sel kosong = belum ada item yang dinilai.</t>
        </is>
      </c>
      <c r="E51">
        <f>IFERROR(INDEX(FILTER('KK Penjaminan Kualitas'!$D$6:$D$676,'KK Penjaminan Kualitas'!$A$6:$A$676=B51,'KK Penjaminan Kualitas'!$C$6:$C$676=D51),1),"")</f>
        <v/>
      </c>
    </row>
  </sheetData>
  <conditionalFormatting sqref="J5:N47">
    <cfRule type="expression" priority="4" dxfId="0">
      <formula>AND(ISNUMBER(J5),J5&lt;0.5)</formula>
    </cfRule>
  </conditionalFormatting>
  <conditionalFormatting sqref="Q5:Q47">
    <cfRule type="expression" priority="5" dxfId="1">
      <formula>AND(ISNUMBER(Q5),Q5&gt;=3)</formula>
    </cfRule>
    <cfRule type="expression" priority="6" dxfId="0">
      <formula>AND(ISNUMBER(Q5),Q5&lt;3)</formula>
    </cfRule>
  </conditionalFormatting>
  <pageMargins left="0.75" right="0.75" top="1" bottom="1" header="0.511811023622047" footer="0.511811023622047"/>
  <pageSetup orientation="landscape" paperSize="5" fitToHeight="0" horizontalDpi="300" verticalDpi="300"/>
</worksheet>
</file>

<file path=xl/worksheets/sheet4.xml><?xml version="1.0" encoding="utf-8"?>
<worksheet xmlns="http://schemas.openxmlformats.org/spreadsheetml/2006/main">
  <sheetPr>
    <outlinePr summaryBelow="1" summaryRight="1"/>
    <pageSetUpPr fitToPage="1"/>
  </sheetPr>
  <dimension ref="A1:M46"/>
  <sheetViews>
    <sheetView zoomScaleNormal="100" workbookViewId="0">
      <pane xSplit="2" ySplit="4" topLeftCell="C33" activePane="bottomRight" state="frozen"/>
      <selection pane="topRight" activeCell="C1" sqref="C1"/>
      <selection pane="bottomLeft" activeCell="A5" sqref="A5"/>
      <selection pane="bottomRight" activeCell="K11" sqref="K11"/>
    </sheetView>
  </sheetViews>
  <sheetFormatPr baseColWidth="8" defaultColWidth="8.6640625" defaultRowHeight="14.25"/>
  <cols>
    <col width="8" customWidth="1" min="1" max="1"/>
    <col width="52" customWidth="1" min="2" max="2"/>
    <col width="10" customWidth="1" min="3" max="4"/>
    <col width="8" customWidth="1" min="5" max="6"/>
    <col width="9" customWidth="1" min="7" max="7"/>
    <col width="13" customWidth="1" min="8" max="8"/>
    <col width="11" customWidth="1" min="9" max="9"/>
    <col width="16" customWidth="1" min="10" max="10"/>
    <col width="26" customWidth="1" min="12" max="12"/>
    <col width="30" customWidth="1" min="13" max="13"/>
  </cols>
  <sheetData>
    <row r="1" ht="15.4" customHeight="1">
      <c r="A1" s="15" t="inlineStr">
        <is>
          <t>REKAPITULASI HASIL PENJAMINAN KUALITAS / QUALITY ASSURANCE APIP PER UNSUR DAN SUBUNSUR</t>
        </is>
      </c>
    </row>
    <row r="2">
      <c r="A2" s="16">
        <f>"OPD: "&amp;IF(Petunjuk!$C$5="","..........",Petunjuk!$C$5)&amp;"     |     Tahun Penilaian: "&amp;IF(Petunjuk!$C$6="","....",Petunjuk!$C$6)</f>
        <v/>
      </c>
    </row>
    <row r="4" ht="36" customHeight="1">
      <c r="A4" s="17" t="inlineStr">
        <is>
          <t>Kode</t>
        </is>
      </c>
      <c r="B4" s="17" t="inlineStr">
        <is>
          <t>Unsur / Subunsur</t>
        </is>
      </c>
      <c r="C4" s="17" t="inlineStr">
        <is>
          <t>Jml
Parameter</t>
        </is>
      </c>
      <c r="D4" s="17" t="inlineStr">
        <is>
          <t>Jml Item
Evidence</t>
        </is>
      </c>
      <c r="E4" s="17" t="inlineStr">
        <is>
          <t>Item
N/A</t>
        </is>
      </c>
      <c r="F4" s="17" t="inlineStr">
        <is>
          <t>Item
Dinilai</t>
        </is>
      </c>
      <c r="G4" s="17" t="inlineStr">
        <is>
          <t>Σ Nilai</t>
        </is>
      </c>
      <c r="H4" s="17" t="inlineStr">
        <is>
          <t>% Pemenuhan
Dokumen</t>
        </is>
      </c>
      <c r="I4" s="17" t="inlineStr">
        <is>
          <t>Parameter
≥ Level 3</t>
        </is>
      </c>
      <c r="J4" s="17" t="inlineStr">
        <is>
          <t>Kategori</t>
        </is>
      </c>
      <c r="L4" s="85" t="inlineStr">
        <is>
          <t>KPI QA APIP</t>
        </is>
      </c>
    </row>
    <row r="5">
      <c r="A5" s="40" t="inlineStr">
        <is>
          <t>1</t>
        </is>
      </c>
      <c r="B5" s="45" t="inlineStr">
        <is>
          <t>Unsur 1. Lingkungan Pengendalian</t>
        </is>
      </c>
      <c r="C5" s="40">
        <f>COUNTIF('Rekap Parameter'!$B$5:$B$47,"1.*")</f>
        <v/>
      </c>
      <c r="D5" s="40">
        <f>SUMIF('Rekap Parameter'!$B$5:$B$47,"1.*",'Rekap Parameter'!$F$5:$F$47)</f>
        <v/>
      </c>
      <c r="E5" s="40">
        <f>SUMIF('Rekap Parameter'!$B$5:$B$47,"1.*",'Rekap Parameter'!$G$5:$G$47)</f>
        <v/>
      </c>
      <c r="F5" s="40">
        <f>SUMIF('Rekap Parameter'!$B$5:$B$47,"1.*",'Rekap Parameter'!$H$5:$H$47)</f>
        <v/>
      </c>
      <c r="G5" s="46">
        <f>SUMIF('KK Penjaminan Kualitas'!$T$6:$T$676,"1.*",'KK Penjaminan Kualitas'!$R$6:$R$676)</f>
        <v/>
      </c>
      <c r="H5" s="55">
        <f>IF(F5=0,"",G5/F5)</f>
        <v/>
      </c>
      <c r="I5" s="40">
        <f>COUNTIFS('Rekap Parameter'!$B$5:$B$47,"1.*",'Rekap Parameter'!$Q$5:$Q$47,"&gt;=3")</f>
        <v/>
      </c>
      <c r="J5" s="47">
        <f>IF(H5="","Belum dinilai",IF(H5&gt;=0.8,"Tinggi",IF(H5&gt;=0.6,"Cukup",IF(H5&gt;=0.4,"Kurang","Rendah"))))</f>
        <v/>
      </c>
      <c r="L5" s="86" t="inlineStr">
        <is>
          <t>Persentase Hasil QA APIP</t>
        </is>
      </c>
      <c r="M5" s="87">
        <f>IFERROR(SUM('KK Penjaminan Kualitas'!$R$6:$R$676)/COUNT('KK Penjaminan Kualitas'!$R$6:$R$676),"")</f>
        <v/>
      </c>
    </row>
    <row r="6">
      <c r="A6" s="28" t="inlineStr">
        <is>
          <t>1.1</t>
        </is>
      </c>
      <c r="B6" s="37" t="inlineStr">
        <is>
          <t>Penegakan Integritas dan Nilai Etika</t>
        </is>
      </c>
      <c r="C6" s="28">
        <f>COUNTIF('Rekap Parameter'!$B$5:$B$47,A6)</f>
        <v/>
      </c>
      <c r="D6" s="28">
        <f>SUMIF('Rekap Parameter'!$B$5:$B$47,A6,'Rekap Parameter'!$F$5:$F$47)</f>
        <v/>
      </c>
      <c r="E6" s="28">
        <f>SUMIF('Rekap Parameter'!$B$5:$B$47,A6,'Rekap Parameter'!$G$5:$G$47)</f>
        <v/>
      </c>
      <c r="F6" s="28">
        <f>SUMIF('Rekap Parameter'!$B$5:$B$47,A6,'Rekap Parameter'!$H$5:$H$47)</f>
        <v/>
      </c>
      <c r="G6" s="48">
        <f>SUMIF('KK Penjaminan Kualitas'!$T$6:$T$676,A6&amp;"-*",'KK Penjaminan Kualitas'!$R$6:$R$676)</f>
        <v/>
      </c>
      <c r="H6" s="38">
        <f>IF(F6=0,"",G6/F6)</f>
        <v/>
      </c>
      <c r="I6" s="28">
        <f>COUNTIFS('Rekap Parameter'!$B$5:$B$47,A6,'Rekap Parameter'!$Q$5:$Q$47,"&gt;=3")</f>
        <v/>
      </c>
      <c r="J6" s="30">
        <f>IF(H6="","Belum dinilai",IF(H6&gt;=0.8,"Tinggi",IF(H6&gt;=0.6,"Cukup",IF(H6&gt;=0.4,"Kurang","Rendah"))))</f>
        <v/>
      </c>
      <c r="L6" s="86" t="inlineStr">
        <is>
          <t>Kategori</t>
        </is>
      </c>
      <c r="M6" s="86">
        <f>IF(M5="","Belum dinilai",IF(M5&gt;=0.8,"Tinggi",IF(M5&gt;=0.6,"Cukup",IF(M5&gt;=0.4,"Kurang","Rendah"))))</f>
        <v/>
      </c>
    </row>
    <row r="7">
      <c r="A7" s="28" t="inlineStr">
        <is>
          <t>1.2</t>
        </is>
      </c>
      <c r="B7" s="37" t="inlineStr">
        <is>
          <t>Komitmen terhadap Kompetensi</t>
        </is>
      </c>
      <c r="C7" s="28">
        <f>COUNTIF('Rekap Parameter'!$B$5:$B$47,A7)</f>
        <v/>
      </c>
      <c r="D7" s="28">
        <f>SUMIF('Rekap Parameter'!$B$5:$B$47,A7,'Rekap Parameter'!$F$5:$F$47)</f>
        <v/>
      </c>
      <c r="E7" s="28">
        <f>SUMIF('Rekap Parameter'!$B$5:$B$47,A7,'Rekap Parameter'!$G$5:$G$47)</f>
        <v/>
      </c>
      <c r="F7" s="28">
        <f>SUMIF('Rekap Parameter'!$B$5:$B$47,A7,'Rekap Parameter'!$H$5:$H$47)</f>
        <v/>
      </c>
      <c r="G7" s="48">
        <f>SUMIF('KK Penjaminan Kualitas'!$T$6:$T$676,A7&amp;"-*",'KK Penjaminan Kualitas'!$R$6:$R$676)</f>
        <v/>
      </c>
      <c r="H7" s="38">
        <f>IF(F7=0,"",G7/F7)</f>
        <v/>
      </c>
      <c r="I7" s="28">
        <f>COUNTIFS('Rekap Parameter'!$B$5:$B$47,A7,'Rekap Parameter'!$Q$5:$Q$47,"&gt;=3")</f>
        <v/>
      </c>
      <c r="J7" s="30">
        <f>IF(H7="","Belum dinilai",IF(H7&gt;=0.8,"Tinggi",IF(H7&gt;=0.6,"Cukup",IF(H7&gt;=0.4,"Kurang","Rendah"))))</f>
        <v/>
      </c>
      <c r="L7" s="86" t="inlineStr">
        <is>
          <t>Catatan</t>
        </is>
      </c>
      <c r="M7" s="86" t="inlineStr">
        <is>
          <t>Nilai dihitung otomatis dari item QA yang telah dinilai.</t>
        </is>
      </c>
    </row>
    <row r="8">
      <c r="A8" s="28" t="inlineStr">
        <is>
          <t>1.3</t>
        </is>
      </c>
      <c r="B8" s="37" t="inlineStr">
        <is>
          <t>Kepemimpinan yang Kondusif</t>
        </is>
      </c>
      <c r="C8" s="28">
        <f>COUNTIF('Rekap Parameter'!$B$5:$B$47,A8)</f>
        <v/>
      </c>
      <c r="D8" s="28">
        <f>SUMIF('Rekap Parameter'!$B$5:$B$47,A8,'Rekap Parameter'!$F$5:$F$47)</f>
        <v/>
      </c>
      <c r="E8" s="28">
        <f>SUMIF('Rekap Parameter'!$B$5:$B$47,A8,'Rekap Parameter'!$G$5:$G$47)</f>
        <v/>
      </c>
      <c r="F8" s="28">
        <f>SUMIF('Rekap Parameter'!$B$5:$B$47,A8,'Rekap Parameter'!$H$5:$H$47)</f>
        <v/>
      </c>
      <c r="G8" s="48">
        <f>SUMIF('KK Penjaminan Kualitas'!$T$6:$T$676,A8&amp;"-*",'KK Penjaminan Kualitas'!$R$6:$R$676)</f>
        <v/>
      </c>
      <c r="H8" s="38">
        <f>IF(F8=0,"",G8/F8)</f>
        <v/>
      </c>
      <c r="I8" s="28">
        <f>COUNTIFS('Rekap Parameter'!$B$5:$B$47,A8,'Rekap Parameter'!$Q$5:$Q$47,"&gt;=3")</f>
        <v/>
      </c>
      <c r="J8" s="30">
        <f>IF(H8="","Belum dinilai",IF(H8&gt;=0.8,"Tinggi",IF(H8&gt;=0.6,"Cukup",IF(H8&gt;=0.4,"Kurang","Rendah"))))</f>
        <v/>
      </c>
    </row>
    <row r="9">
      <c r="A9" s="28" t="inlineStr">
        <is>
          <t>1.4</t>
        </is>
      </c>
      <c r="B9" s="37" t="inlineStr">
        <is>
          <t>Struktur Organisasi Sesuai Kebutuhan</t>
        </is>
      </c>
      <c r="C9" s="28">
        <f>COUNTIF('Rekap Parameter'!$B$5:$B$47,A9)</f>
        <v/>
      </c>
      <c r="D9" s="28">
        <f>SUMIF('Rekap Parameter'!$B$5:$B$47,A9,'Rekap Parameter'!$F$5:$F$47)</f>
        <v/>
      </c>
      <c r="E9" s="28">
        <f>SUMIF('Rekap Parameter'!$B$5:$B$47,A9,'Rekap Parameter'!$G$5:$G$47)</f>
        <v/>
      </c>
      <c r="F9" s="28">
        <f>SUMIF('Rekap Parameter'!$B$5:$B$47,A9,'Rekap Parameter'!$H$5:$H$47)</f>
        <v/>
      </c>
      <c r="G9" s="48">
        <f>SUMIF('KK Penjaminan Kualitas'!$T$6:$T$676,A9&amp;"-*",'KK Penjaminan Kualitas'!$R$6:$R$676)</f>
        <v/>
      </c>
      <c r="H9" s="38">
        <f>IF(F9=0,"",G9/F9)</f>
        <v/>
      </c>
      <c r="I9" s="28">
        <f>COUNTIFS('Rekap Parameter'!$B$5:$B$47,A9,'Rekap Parameter'!$Q$5:$Q$47,"&gt;=3")</f>
        <v/>
      </c>
      <c r="J9" s="30">
        <f>IF(H9="","Belum dinilai",IF(H9&gt;=0.8,"Tinggi",IF(H9&gt;=0.6,"Cukup",IF(H9&gt;=0.4,"Kurang","Rendah"))))</f>
        <v/>
      </c>
      <c r="K9" t="inlineStr">
        <is>
          <t>ok</t>
        </is>
      </c>
    </row>
    <row r="10">
      <c r="A10" s="28" t="inlineStr">
        <is>
          <t>1.5</t>
        </is>
      </c>
      <c r="B10" s="37" t="inlineStr">
        <is>
          <t>Pendelegasian Wewenang dan Tanggung Jawab yang Tepat</t>
        </is>
      </c>
      <c r="C10" s="28">
        <f>COUNTIF('Rekap Parameter'!$B$5:$B$47,A10)</f>
        <v/>
      </c>
      <c r="D10" s="28">
        <f>SUMIF('Rekap Parameter'!$B$5:$B$47,A10,'Rekap Parameter'!$F$5:$F$47)</f>
        <v/>
      </c>
      <c r="E10" s="28">
        <f>SUMIF('Rekap Parameter'!$B$5:$B$47,A10,'Rekap Parameter'!$G$5:$G$47)</f>
        <v/>
      </c>
      <c r="F10" s="28">
        <f>SUMIF('Rekap Parameter'!$B$5:$B$47,A10,'Rekap Parameter'!$H$5:$H$47)</f>
        <v/>
      </c>
      <c r="G10" s="48">
        <f>SUMIF('KK Penjaminan Kualitas'!$T$6:$T$676,A10&amp;"-*",'KK Penjaminan Kualitas'!$R$6:$R$676)</f>
        <v/>
      </c>
      <c r="H10" s="38">
        <f>IF(F10=0,"",G10/F10)</f>
        <v/>
      </c>
      <c r="I10" s="28">
        <f>COUNTIFS('Rekap Parameter'!$B$5:$B$47,A10,'Rekap Parameter'!$Q$5:$Q$47,"&gt;=3")</f>
        <v/>
      </c>
      <c r="J10" s="30">
        <f>IF(H10="","Belum dinilai",IF(H10&gt;=0.8,"Tinggi",IF(H10&gt;=0.6,"Cukup",IF(H10&gt;=0.4,"Kurang","Rendah"))))</f>
        <v/>
      </c>
    </row>
    <row r="11" ht="23.25" customHeight="1">
      <c r="A11" s="28" t="inlineStr">
        <is>
          <t>1.6</t>
        </is>
      </c>
      <c r="B11" s="37" t="inlineStr">
        <is>
          <t>Penyusunan dan Penerapan Kebijakan yang Sehat tentang Pembinaan SDM</t>
        </is>
      </c>
      <c r="C11" s="28">
        <f>COUNTIF('Rekap Parameter'!$B$5:$B$47,A11)</f>
        <v/>
      </c>
      <c r="D11" s="28">
        <f>SUMIF('Rekap Parameter'!$B$5:$B$47,A11,'Rekap Parameter'!$F$5:$F$47)</f>
        <v/>
      </c>
      <c r="E11" s="28">
        <f>SUMIF('Rekap Parameter'!$B$5:$B$47,A11,'Rekap Parameter'!$G$5:$G$47)</f>
        <v/>
      </c>
      <c r="F11" s="28">
        <f>SUMIF('Rekap Parameter'!$B$5:$B$47,A11,'Rekap Parameter'!$H$5:$H$47)</f>
        <v/>
      </c>
      <c r="G11" s="48">
        <f>SUMIF('KK Penjaminan Kualitas'!$T$6:$T$676,A11&amp;"-*",'KK Penjaminan Kualitas'!$R$6:$R$676)</f>
        <v/>
      </c>
      <c r="H11" s="38">
        <f>IF(F11=0,"",G11/F11)</f>
        <v/>
      </c>
      <c r="I11" s="28">
        <f>COUNTIFS('Rekap Parameter'!$B$5:$B$47,A11,'Rekap Parameter'!$Q$5:$Q$47,"&gt;=3")</f>
        <v/>
      </c>
      <c r="J11" s="30">
        <f>IF(H11="","Belum dinilai",IF(H11&gt;=0.8,"Tinggi",IF(H11&gt;=0.6,"Cukup",IF(H11&gt;=0.4,"Kurang","Rendah"))))</f>
        <v/>
      </c>
    </row>
    <row r="12">
      <c r="A12" s="28" t="inlineStr">
        <is>
          <t>1.7</t>
        </is>
      </c>
      <c r="B12" s="37" t="inlineStr">
        <is>
          <t>Perwujudan Peran APIP yang Efektf</t>
        </is>
      </c>
      <c r="C12" s="28">
        <f>COUNTIF('Rekap Parameter'!$B$5:$B$47,A12)</f>
        <v/>
      </c>
      <c r="D12" s="28">
        <f>SUMIF('Rekap Parameter'!$B$5:$B$47,A12,'Rekap Parameter'!$F$5:$F$47)</f>
        <v/>
      </c>
      <c r="E12" s="28">
        <f>SUMIF('Rekap Parameter'!$B$5:$B$47,A12,'Rekap Parameter'!$G$5:$G$47)</f>
        <v/>
      </c>
      <c r="F12" s="28">
        <f>SUMIF('Rekap Parameter'!$B$5:$B$47,A12,'Rekap Parameter'!$H$5:$H$47)</f>
        <v/>
      </c>
      <c r="G12" s="48">
        <f>SUMIF('KK Penjaminan Kualitas'!$T$6:$T$676,A12&amp;"-*",'KK Penjaminan Kualitas'!$R$6:$R$676)</f>
        <v/>
      </c>
      <c r="H12" s="38">
        <f>IF(F12=0,"",G12/F12)</f>
        <v/>
      </c>
      <c r="I12" s="28">
        <f>COUNTIFS('Rekap Parameter'!$B$5:$B$47,A12,'Rekap Parameter'!$Q$5:$Q$47,"&gt;=3")</f>
        <v/>
      </c>
      <c r="J12" s="30">
        <f>IF(H12="","Belum dinilai",IF(H12&gt;=0.8,"Tinggi",IF(H12&gt;=0.6,"Cukup",IF(H12&gt;=0.4,"Kurang","Rendah"))))</f>
        <v/>
      </c>
    </row>
    <row r="13">
      <c r="A13" s="28" t="inlineStr">
        <is>
          <t>1.8</t>
        </is>
      </c>
      <c r="B13" s="37" t="inlineStr">
        <is>
          <t>Hubungan Kerja yang Baik dengan Instansi Pemerintah Terkait</t>
        </is>
      </c>
      <c r="C13" s="28">
        <f>COUNTIF('Rekap Parameter'!$B$5:$B$47,A13)</f>
        <v/>
      </c>
      <c r="D13" s="28">
        <f>SUMIF('Rekap Parameter'!$B$5:$B$47,A13,'Rekap Parameter'!$F$5:$F$47)</f>
        <v/>
      </c>
      <c r="E13" s="28">
        <f>SUMIF('Rekap Parameter'!$B$5:$B$47,A13,'Rekap Parameter'!$G$5:$G$47)</f>
        <v/>
      </c>
      <c r="F13" s="28">
        <f>SUMIF('Rekap Parameter'!$B$5:$B$47,A13,'Rekap Parameter'!$H$5:$H$47)</f>
        <v/>
      </c>
      <c r="G13" s="48">
        <f>SUMIF('KK Penjaminan Kualitas'!$T$6:$T$676,A13&amp;"-*",'KK Penjaminan Kualitas'!$R$6:$R$676)</f>
        <v/>
      </c>
      <c r="H13" s="38">
        <f>IF(F13=0,"",G13/F13)</f>
        <v/>
      </c>
      <c r="I13" s="28">
        <f>COUNTIFS('Rekap Parameter'!$B$5:$B$47,A13,'Rekap Parameter'!$Q$5:$Q$47,"&gt;=3")</f>
        <v/>
      </c>
      <c r="J13" s="30">
        <f>IF(H13="","Belum dinilai",IF(H13&gt;=0.8,"Tinggi",IF(H13&gt;=0.6,"Cukup",IF(H13&gt;=0.4,"Kurang","Rendah"))))</f>
        <v/>
      </c>
    </row>
    <row r="14">
      <c r="A14" s="40" t="inlineStr">
        <is>
          <t>2</t>
        </is>
      </c>
      <c r="B14" s="45" t="inlineStr">
        <is>
          <t>Unsur 2. Penilaian Risiko</t>
        </is>
      </c>
      <c r="C14" s="40">
        <f>COUNTIF('Rekap Parameter'!$B$5:$B$47,"2.*")</f>
        <v/>
      </c>
      <c r="D14" s="40">
        <f>SUMIF('Rekap Parameter'!$B$5:$B$47,"2.*",'Rekap Parameter'!$F$5:$F$47)</f>
        <v/>
      </c>
      <c r="E14" s="40">
        <f>SUMIF('Rekap Parameter'!$B$5:$B$47,"2.*",'Rekap Parameter'!$G$5:$G$47)</f>
        <v/>
      </c>
      <c r="F14" s="40">
        <f>SUMIF('Rekap Parameter'!$B$5:$B$47,"2.*",'Rekap Parameter'!$H$5:$H$47)</f>
        <v/>
      </c>
      <c r="G14" s="46">
        <f>SUMIF('KK Penjaminan Kualitas'!$T$6:$T$676,"2.*",'KK Penjaminan Kualitas'!$R$6:$R$676)</f>
        <v/>
      </c>
      <c r="H14" s="55">
        <f>IF(F14=0,"",G14/F14)</f>
        <v/>
      </c>
      <c r="I14" s="40">
        <f>COUNTIFS('Rekap Parameter'!$B$5:$B$47,"2.*",'Rekap Parameter'!$Q$5:$Q$47,"&gt;=3")</f>
        <v/>
      </c>
      <c r="J14" s="47">
        <f>IF(H14="","Belum dinilai",IF(H14&gt;=0.8,"Tinggi",IF(H14&gt;=0.6,"Cukup",IF(H14&gt;=0.4,"Kurang","Rendah"))))</f>
        <v/>
      </c>
    </row>
    <row r="15">
      <c r="A15" s="28" t="inlineStr">
        <is>
          <t>2.1</t>
        </is>
      </c>
      <c r="B15" s="37" t="inlineStr">
        <is>
          <t>Identifikasi Risiko</t>
        </is>
      </c>
      <c r="C15" s="28">
        <f>COUNTIF('Rekap Parameter'!$B$5:$B$47,A15)</f>
        <v/>
      </c>
      <c r="D15" s="28">
        <f>SUMIF('Rekap Parameter'!$B$5:$B$47,A15,'Rekap Parameter'!$F$5:$F$47)</f>
        <v/>
      </c>
      <c r="E15" s="28">
        <f>SUMIF('Rekap Parameter'!$B$5:$B$47,A15,'Rekap Parameter'!$G$5:$G$47)</f>
        <v/>
      </c>
      <c r="F15" s="28">
        <f>SUMIF('Rekap Parameter'!$B$5:$B$47,A15,'Rekap Parameter'!$H$5:$H$47)</f>
        <v/>
      </c>
      <c r="G15" s="48">
        <f>SUMIF('KK Penjaminan Kualitas'!$T$6:$T$676,A15&amp;"-*",'KK Penjaminan Kualitas'!$R$6:$R$676)</f>
        <v/>
      </c>
      <c r="H15" s="38">
        <f>IF(F15=0,"",G15/F15)</f>
        <v/>
      </c>
      <c r="I15" s="28">
        <f>COUNTIFS('Rekap Parameter'!$B$5:$B$47,A15,'Rekap Parameter'!$Q$5:$Q$47,"&gt;=3")</f>
        <v/>
      </c>
      <c r="J15" s="30">
        <f>IF(H15="","Belum dinilai",IF(H15&gt;=0.8,"Tinggi",IF(H15&gt;=0.6,"Cukup",IF(H15&gt;=0.4,"Kurang","Rendah"))))</f>
        <v/>
      </c>
    </row>
    <row r="16">
      <c r="A16" s="28" t="inlineStr">
        <is>
          <t>2.2</t>
        </is>
      </c>
      <c r="B16" s="37" t="inlineStr">
        <is>
          <t>Analisis Risiko</t>
        </is>
      </c>
      <c r="C16" s="28">
        <f>COUNTIF('Rekap Parameter'!$B$5:$B$47,A16)</f>
        <v/>
      </c>
      <c r="D16" s="28">
        <f>SUMIF('Rekap Parameter'!$B$5:$B$47,A16,'Rekap Parameter'!$F$5:$F$47)</f>
        <v/>
      </c>
      <c r="E16" s="28">
        <f>SUMIF('Rekap Parameter'!$B$5:$B$47,A16,'Rekap Parameter'!$G$5:$G$47)</f>
        <v/>
      </c>
      <c r="F16" s="28">
        <f>SUMIF('Rekap Parameter'!$B$5:$B$47,A16,'Rekap Parameter'!$H$5:$H$47)</f>
        <v/>
      </c>
      <c r="G16" s="48">
        <f>SUMIF('KK Penjaminan Kualitas'!$T$6:$T$676,A16&amp;"-*",'KK Penjaminan Kualitas'!$R$6:$R$676)</f>
        <v/>
      </c>
      <c r="H16" s="38">
        <f>IF(F16=0,"",G16/F16)</f>
        <v/>
      </c>
      <c r="I16" s="28">
        <f>COUNTIFS('Rekap Parameter'!$B$5:$B$47,A16,'Rekap Parameter'!$Q$5:$Q$47,"&gt;=3")</f>
        <v/>
      </c>
      <c r="J16" s="30">
        <f>IF(H16="","Belum dinilai",IF(H16&gt;=0.8,"Tinggi",IF(H16&gt;=0.6,"Cukup",IF(H16&gt;=0.4,"Kurang","Rendah"))))</f>
        <v/>
      </c>
    </row>
    <row r="17">
      <c r="A17" s="40" t="inlineStr">
        <is>
          <t>3</t>
        </is>
      </c>
      <c r="B17" s="45" t="inlineStr">
        <is>
          <t>Unsur 3. Kegiatan Pengendalian</t>
        </is>
      </c>
      <c r="C17" s="40">
        <f>COUNTIF('Rekap Parameter'!$B$5:$B$47,"3.*")</f>
        <v/>
      </c>
      <c r="D17" s="40">
        <f>SUMIF('Rekap Parameter'!$B$5:$B$47,"3.*",'Rekap Parameter'!$F$5:$F$47)</f>
        <v/>
      </c>
      <c r="E17" s="40">
        <f>SUMIF('Rekap Parameter'!$B$5:$B$47,"3.*",'Rekap Parameter'!$G$5:$G$47)</f>
        <v/>
      </c>
      <c r="F17" s="40">
        <f>SUMIF('Rekap Parameter'!$B$5:$B$47,"3.*",'Rekap Parameter'!$H$5:$H$47)</f>
        <v/>
      </c>
      <c r="G17" s="46">
        <f>SUMIF('KK Penjaminan Kualitas'!$T$6:$T$676,"3.*",'KK Penjaminan Kualitas'!$R$6:$R$676)</f>
        <v/>
      </c>
      <c r="H17" s="55">
        <f>IF(F17=0,"",G17/F17)</f>
        <v/>
      </c>
      <c r="I17" s="40">
        <f>COUNTIFS('Rekap Parameter'!$B$5:$B$47,"3.*",'Rekap Parameter'!$Q$5:$Q$47,"&gt;=3")</f>
        <v/>
      </c>
      <c r="J17" s="47">
        <f>IF(H17="","Belum dinilai",IF(H17&gt;=0.8,"Tinggi",IF(H17&gt;=0.6,"Cukup",IF(H17&gt;=0.4,"Kurang","Rendah"))))</f>
        <v/>
      </c>
    </row>
    <row r="18">
      <c r="A18" s="28" t="inlineStr">
        <is>
          <t>3.1</t>
        </is>
      </c>
      <c r="B18" s="37" t="inlineStr">
        <is>
          <t>Reviu atas Kinerja Instansi Pemerintah</t>
        </is>
      </c>
      <c r="C18" s="28">
        <f>COUNTIF('Rekap Parameter'!$B$5:$B$47,A18)</f>
        <v/>
      </c>
      <c r="D18" s="28">
        <f>SUMIF('Rekap Parameter'!$B$5:$B$47,A18,'Rekap Parameter'!$F$5:$F$47)</f>
        <v/>
      </c>
      <c r="E18" s="28">
        <f>SUMIF('Rekap Parameter'!$B$5:$B$47,A18,'Rekap Parameter'!$G$5:$G$47)</f>
        <v/>
      </c>
      <c r="F18" s="28">
        <f>SUMIF('Rekap Parameter'!$B$5:$B$47,A18,'Rekap Parameter'!$H$5:$H$47)</f>
        <v/>
      </c>
      <c r="G18" s="48">
        <f>SUMIF('KK Penjaminan Kualitas'!$T$6:$T$676,A18&amp;"-*",'KK Penjaminan Kualitas'!$R$6:$R$676)</f>
        <v/>
      </c>
      <c r="H18" s="38">
        <f>IF(F18=0,"",G18/F18)</f>
        <v/>
      </c>
      <c r="I18" s="28">
        <f>COUNTIFS('Rekap Parameter'!$B$5:$B$47,A18,'Rekap Parameter'!$Q$5:$Q$47,"&gt;=3")</f>
        <v/>
      </c>
      <c r="J18" s="30">
        <f>IF(H18="","Belum dinilai",IF(H18&gt;=0.8,"Tinggi",IF(H18&gt;=0.6,"Cukup",IF(H18&gt;=0.4,"Kurang","Rendah"))))</f>
        <v/>
      </c>
    </row>
    <row r="19">
      <c r="A19" s="28" t="inlineStr">
        <is>
          <t>3.2</t>
        </is>
      </c>
      <c r="B19" s="37" t="inlineStr">
        <is>
          <t>Pembinaan SDM</t>
        </is>
      </c>
      <c r="C19" s="28">
        <f>COUNTIF('Rekap Parameter'!$B$5:$B$47,A19)</f>
        <v/>
      </c>
      <c r="D19" s="28">
        <f>SUMIF('Rekap Parameter'!$B$5:$B$47,A19,'Rekap Parameter'!$F$5:$F$47)</f>
        <v/>
      </c>
      <c r="E19" s="28">
        <f>SUMIF('Rekap Parameter'!$B$5:$B$47,A19,'Rekap Parameter'!$G$5:$G$47)</f>
        <v/>
      </c>
      <c r="F19" s="28">
        <f>SUMIF('Rekap Parameter'!$B$5:$B$47,A19,'Rekap Parameter'!$H$5:$H$47)</f>
        <v/>
      </c>
      <c r="G19" s="48">
        <f>SUMIF('KK Penjaminan Kualitas'!$T$6:$T$676,A19&amp;"-*",'KK Penjaminan Kualitas'!$R$6:$R$676)</f>
        <v/>
      </c>
      <c r="H19" s="38">
        <f>IF(F19=0,"",G19/F19)</f>
        <v/>
      </c>
      <c r="I19" s="28">
        <f>COUNTIFS('Rekap Parameter'!$B$5:$B$47,A19,'Rekap Parameter'!$Q$5:$Q$47,"&gt;=3")</f>
        <v/>
      </c>
      <c r="J19" s="30">
        <f>IF(H19="","Belum dinilai",IF(H19&gt;=0.8,"Tinggi",IF(H19&gt;=0.6,"Cukup",IF(H19&gt;=0.4,"Kurang","Rendah"))))</f>
        <v/>
      </c>
    </row>
    <row r="20">
      <c r="A20" s="28" t="inlineStr">
        <is>
          <t>3.3</t>
        </is>
      </c>
      <c r="B20" s="37" t="inlineStr">
        <is>
          <t>Pengendalian atas Pengelolaan Sistem Informasi</t>
        </is>
      </c>
      <c r="C20" s="28">
        <f>COUNTIF('Rekap Parameter'!$B$5:$B$47,A20)</f>
        <v/>
      </c>
      <c r="D20" s="28">
        <f>SUMIF('Rekap Parameter'!$B$5:$B$47,A20,'Rekap Parameter'!$F$5:$F$47)</f>
        <v/>
      </c>
      <c r="E20" s="28">
        <f>SUMIF('Rekap Parameter'!$B$5:$B$47,A20,'Rekap Parameter'!$G$5:$G$47)</f>
        <v/>
      </c>
      <c r="F20" s="28">
        <f>SUMIF('Rekap Parameter'!$B$5:$B$47,A20,'Rekap Parameter'!$H$5:$H$47)</f>
        <v/>
      </c>
      <c r="G20" s="48">
        <f>SUMIF('KK Penjaminan Kualitas'!$T$6:$T$676,A20&amp;"-*",'KK Penjaminan Kualitas'!$R$6:$R$676)</f>
        <v/>
      </c>
      <c r="H20" s="38">
        <f>IF(F20=0,"",G20/F20)</f>
        <v/>
      </c>
      <c r="I20" s="28">
        <f>COUNTIFS('Rekap Parameter'!$B$5:$B$47,A20,'Rekap Parameter'!$Q$5:$Q$47,"&gt;=3")</f>
        <v/>
      </c>
      <c r="J20" s="30">
        <f>IF(H20="","Belum dinilai",IF(H20&gt;=0.8,"Tinggi",IF(H20&gt;=0.6,"Cukup",IF(H20&gt;=0.4,"Kurang","Rendah"))))</f>
        <v/>
      </c>
    </row>
    <row r="21">
      <c r="A21" s="28" t="inlineStr">
        <is>
          <t>3.4</t>
        </is>
      </c>
      <c r="B21" s="37" t="inlineStr">
        <is>
          <t>Pengendalian Fisik atas Aset</t>
        </is>
      </c>
      <c r="C21" s="28">
        <f>COUNTIF('Rekap Parameter'!$B$5:$B$47,A21)</f>
        <v/>
      </c>
      <c r="D21" s="28">
        <f>SUMIF('Rekap Parameter'!$B$5:$B$47,A21,'Rekap Parameter'!$F$5:$F$47)</f>
        <v/>
      </c>
      <c r="E21" s="28">
        <f>SUMIF('Rekap Parameter'!$B$5:$B$47,A21,'Rekap Parameter'!$G$5:$G$47)</f>
        <v/>
      </c>
      <c r="F21" s="28">
        <f>SUMIF('Rekap Parameter'!$B$5:$B$47,A21,'Rekap Parameter'!$H$5:$H$47)</f>
        <v/>
      </c>
      <c r="G21" s="48">
        <f>SUMIF('KK Penjaminan Kualitas'!$T$6:$T$676,A21&amp;"-*",'KK Penjaminan Kualitas'!$R$6:$R$676)</f>
        <v/>
      </c>
      <c r="H21" s="38">
        <f>IF(F21=0,"",G21/F21)</f>
        <v/>
      </c>
      <c r="I21" s="28">
        <f>COUNTIFS('Rekap Parameter'!$B$5:$B$47,A21,'Rekap Parameter'!$Q$5:$Q$47,"&gt;=3")</f>
        <v/>
      </c>
      <c r="J21" s="30">
        <f>IF(H21="","Belum dinilai",IF(H21&gt;=0.8,"Tinggi",IF(H21&gt;=0.6,"Cukup",IF(H21&gt;=0.4,"Kurang","Rendah"))))</f>
        <v/>
      </c>
    </row>
    <row r="22">
      <c r="A22" s="28" t="inlineStr">
        <is>
          <t>3.5</t>
        </is>
      </c>
      <c r="B22" s="37" t="inlineStr">
        <is>
          <t>Penetapan dan Reviu atas Indikator dan Ukuran Kinerja</t>
        </is>
      </c>
      <c r="C22" s="28">
        <f>COUNTIF('Rekap Parameter'!$B$5:$B$47,A22)</f>
        <v/>
      </c>
      <c r="D22" s="28">
        <f>SUMIF('Rekap Parameter'!$B$5:$B$47,A22,'Rekap Parameter'!$F$5:$F$47)</f>
        <v/>
      </c>
      <c r="E22" s="28">
        <f>SUMIF('Rekap Parameter'!$B$5:$B$47,A22,'Rekap Parameter'!$G$5:$G$47)</f>
        <v/>
      </c>
      <c r="F22" s="28">
        <f>SUMIF('Rekap Parameter'!$B$5:$B$47,A22,'Rekap Parameter'!$H$5:$H$47)</f>
        <v/>
      </c>
      <c r="G22" s="48">
        <f>SUMIF('KK Penjaminan Kualitas'!$T$6:$T$676,A22&amp;"-*",'KK Penjaminan Kualitas'!$R$6:$R$676)</f>
        <v/>
      </c>
      <c r="H22" s="38">
        <f>IF(F22=0,"",G22/F22)</f>
        <v/>
      </c>
      <c r="I22" s="28">
        <f>COUNTIFS('Rekap Parameter'!$B$5:$B$47,A22,'Rekap Parameter'!$Q$5:$Q$47,"&gt;=3")</f>
        <v/>
      </c>
      <c r="J22" s="30">
        <f>IF(H22="","Belum dinilai",IF(H22&gt;=0.8,"Tinggi",IF(H22&gt;=0.6,"Cukup",IF(H22&gt;=0.4,"Kurang","Rendah"))))</f>
        <v/>
      </c>
    </row>
    <row r="23">
      <c r="A23" s="28" t="inlineStr">
        <is>
          <t>3.6</t>
        </is>
      </c>
      <c r="B23" s="37" t="inlineStr">
        <is>
          <t>Pemisahan Fungsi</t>
        </is>
      </c>
      <c r="C23" s="28">
        <f>COUNTIF('Rekap Parameter'!$B$5:$B$47,A23)</f>
        <v/>
      </c>
      <c r="D23" s="28">
        <f>SUMIF('Rekap Parameter'!$B$5:$B$47,A23,'Rekap Parameter'!$F$5:$F$47)</f>
        <v/>
      </c>
      <c r="E23" s="28">
        <f>SUMIF('Rekap Parameter'!$B$5:$B$47,A23,'Rekap Parameter'!$G$5:$G$47)</f>
        <v/>
      </c>
      <c r="F23" s="28">
        <f>SUMIF('Rekap Parameter'!$B$5:$B$47,A23,'Rekap Parameter'!$H$5:$H$47)</f>
        <v/>
      </c>
      <c r="G23" s="48">
        <f>SUMIF('KK Penjaminan Kualitas'!$T$6:$T$676,A23&amp;"-*",'KK Penjaminan Kualitas'!$R$6:$R$676)</f>
        <v/>
      </c>
      <c r="H23" s="38">
        <f>IF(F23=0,"",G23/F23)</f>
        <v/>
      </c>
      <c r="I23" s="28">
        <f>COUNTIFS('Rekap Parameter'!$B$5:$B$47,A23,'Rekap Parameter'!$Q$5:$Q$47,"&gt;=3")</f>
        <v/>
      </c>
      <c r="J23" s="30">
        <f>IF(H23="","Belum dinilai",IF(H23&gt;=0.8,"Tinggi",IF(H23&gt;=0.6,"Cukup",IF(H23&gt;=0.4,"Kurang","Rendah"))))</f>
        <v/>
      </c>
    </row>
    <row r="24">
      <c r="A24" s="28" t="inlineStr">
        <is>
          <t>3.7</t>
        </is>
      </c>
      <c r="B24" s="37" t="inlineStr">
        <is>
          <t>Otorisasi atas Transaksi dan Kejadian yang Penting</t>
        </is>
      </c>
      <c r="C24" s="28">
        <f>COUNTIF('Rekap Parameter'!$B$5:$B$47,A24)</f>
        <v/>
      </c>
      <c r="D24" s="28">
        <f>SUMIF('Rekap Parameter'!$B$5:$B$47,A24,'Rekap Parameter'!$F$5:$F$47)</f>
        <v/>
      </c>
      <c r="E24" s="28">
        <f>SUMIF('Rekap Parameter'!$B$5:$B$47,A24,'Rekap Parameter'!$G$5:$G$47)</f>
        <v/>
      </c>
      <c r="F24" s="28">
        <f>SUMIF('Rekap Parameter'!$B$5:$B$47,A24,'Rekap Parameter'!$H$5:$H$47)</f>
        <v/>
      </c>
      <c r="G24" s="48">
        <f>SUMIF('KK Penjaminan Kualitas'!$T$6:$T$676,A24&amp;"-*",'KK Penjaminan Kualitas'!$R$6:$R$676)</f>
        <v/>
      </c>
      <c r="H24" s="38">
        <f>IF(F24=0,"",G24/F24)</f>
        <v/>
      </c>
      <c r="I24" s="28">
        <f>COUNTIFS('Rekap Parameter'!$B$5:$B$47,A24,'Rekap Parameter'!$Q$5:$Q$47,"&gt;=3")</f>
        <v/>
      </c>
      <c r="J24" s="30">
        <f>IF(H24="","Belum dinilai",IF(H24&gt;=0.8,"Tinggi",IF(H24&gt;=0.6,"Cukup",IF(H24&gt;=0.4,"Kurang","Rendah"))))</f>
        <v/>
      </c>
    </row>
    <row r="25" ht="23.25" customHeight="1">
      <c r="A25" s="28" t="inlineStr">
        <is>
          <t>3.8</t>
        </is>
      </c>
      <c r="B25" s="37" t="inlineStr">
        <is>
          <t>Pencatatan yang Akurat dan Tepat Waktu atas Transaksi dan Kejadian</t>
        </is>
      </c>
      <c r="C25" s="28">
        <f>COUNTIF('Rekap Parameter'!$B$5:$B$47,A25)</f>
        <v/>
      </c>
      <c r="D25" s="28">
        <f>SUMIF('Rekap Parameter'!$B$5:$B$47,A25,'Rekap Parameter'!$F$5:$F$47)</f>
        <v/>
      </c>
      <c r="E25" s="28">
        <f>SUMIF('Rekap Parameter'!$B$5:$B$47,A25,'Rekap Parameter'!$G$5:$G$47)</f>
        <v/>
      </c>
      <c r="F25" s="28">
        <f>SUMIF('Rekap Parameter'!$B$5:$B$47,A25,'Rekap Parameter'!$H$5:$H$47)</f>
        <v/>
      </c>
      <c r="G25" s="48">
        <f>SUMIF('KK Penjaminan Kualitas'!$T$6:$T$676,A25&amp;"-*",'KK Penjaminan Kualitas'!$R$6:$R$676)</f>
        <v/>
      </c>
      <c r="H25" s="38">
        <f>IF(F25=0,"",G25/F25)</f>
        <v/>
      </c>
      <c r="I25" s="28">
        <f>COUNTIFS('Rekap Parameter'!$B$5:$B$47,A25,'Rekap Parameter'!$Q$5:$Q$47,"&gt;=3")</f>
        <v/>
      </c>
      <c r="J25" s="30">
        <f>IF(H25="","Belum dinilai",IF(H25&gt;=0.8,"Tinggi",IF(H25&gt;=0.6,"Cukup",IF(H25&gt;=0.4,"Kurang","Rendah"))))</f>
        <v/>
      </c>
    </row>
    <row r="26">
      <c r="A26" s="28" t="inlineStr">
        <is>
          <t>3.9</t>
        </is>
      </c>
      <c r="B26" s="37" t="inlineStr">
        <is>
          <t>Pembatasan Akses atas Sumber Daya dan Pencatatannya</t>
        </is>
      </c>
      <c r="C26" s="28">
        <f>COUNTIF('Rekap Parameter'!$B$5:$B$47,A26)</f>
        <v/>
      </c>
      <c r="D26" s="28">
        <f>SUMIF('Rekap Parameter'!$B$5:$B$47,A26,'Rekap Parameter'!$F$5:$F$47)</f>
        <v/>
      </c>
      <c r="E26" s="28">
        <f>SUMIF('Rekap Parameter'!$B$5:$B$47,A26,'Rekap Parameter'!$G$5:$G$47)</f>
        <v/>
      </c>
      <c r="F26" s="28">
        <f>SUMIF('Rekap Parameter'!$B$5:$B$47,A26,'Rekap Parameter'!$H$5:$H$47)</f>
        <v/>
      </c>
      <c r="G26" s="48">
        <f>SUMIF('KK Penjaminan Kualitas'!$T$6:$T$676,A26&amp;"-*",'KK Penjaminan Kualitas'!$R$6:$R$676)</f>
        <v/>
      </c>
      <c r="H26" s="38">
        <f>IF(F26=0,"",G26/F26)</f>
        <v/>
      </c>
      <c r="I26" s="28">
        <f>COUNTIFS('Rekap Parameter'!$B$5:$B$47,A26,'Rekap Parameter'!$Q$5:$Q$47,"&gt;=3")</f>
        <v/>
      </c>
      <c r="J26" s="30">
        <f>IF(H26="","Belum dinilai",IF(H26&gt;=0.8,"Tinggi",IF(H26&gt;=0.6,"Cukup",IF(H26&gt;=0.4,"Kurang","Rendah"))))</f>
        <v/>
      </c>
    </row>
    <row r="27">
      <c r="A27" s="28" t="inlineStr">
        <is>
          <t>3.10</t>
        </is>
      </c>
      <c r="B27" s="37" t="inlineStr">
        <is>
          <t>Akuntabilitas terhadap Sumber Daya dan Pencatatannya</t>
        </is>
      </c>
      <c r="C27" s="28">
        <f>COUNTIF('Rekap Parameter'!$B$5:$B$47,A27)</f>
        <v/>
      </c>
      <c r="D27" s="28">
        <f>SUMIF('Rekap Parameter'!$B$5:$B$47,A27,'Rekap Parameter'!$F$5:$F$47)</f>
        <v/>
      </c>
      <c r="E27" s="28">
        <f>SUMIF('Rekap Parameter'!$B$5:$B$47,A27,'Rekap Parameter'!$G$5:$G$47)</f>
        <v/>
      </c>
      <c r="F27" s="28">
        <f>SUMIF('Rekap Parameter'!$B$5:$B$47,A27,'Rekap Parameter'!$H$5:$H$47)</f>
        <v/>
      </c>
      <c r="G27" s="48">
        <f>SUMIF('KK Penjaminan Kualitas'!$T$6:$T$676,A27&amp;"-*",'KK Penjaminan Kualitas'!$R$6:$R$676)</f>
        <v/>
      </c>
      <c r="H27" s="38">
        <f>IF(F27=0,"",G27/F27)</f>
        <v/>
      </c>
      <c r="I27" s="28">
        <f>COUNTIFS('Rekap Parameter'!$B$5:$B$47,A27,'Rekap Parameter'!$Q$5:$Q$47,"&gt;=3")</f>
        <v/>
      </c>
      <c r="J27" s="30">
        <f>IF(H27="","Belum dinilai",IF(H27&gt;=0.8,"Tinggi",IF(H27&gt;=0.6,"Cukup",IF(H27&gt;=0.4,"Kurang","Rendah"))))</f>
        <v/>
      </c>
    </row>
    <row r="28">
      <c r="A28" s="28" t="inlineStr">
        <is>
          <t>3.11</t>
        </is>
      </c>
      <c r="B28" s="37" t="inlineStr">
        <is>
          <t>Dokumentasi yang Baik atas SPI serta Transaksi dan Kejadian Penting</t>
        </is>
      </c>
      <c r="C28" s="28">
        <f>COUNTIF('Rekap Parameter'!$B$5:$B$47,A28)</f>
        <v/>
      </c>
      <c r="D28" s="28">
        <f>SUMIF('Rekap Parameter'!$B$5:$B$47,A28,'Rekap Parameter'!$F$5:$F$47)</f>
        <v/>
      </c>
      <c r="E28" s="28">
        <f>SUMIF('Rekap Parameter'!$B$5:$B$47,A28,'Rekap Parameter'!$G$5:$G$47)</f>
        <v/>
      </c>
      <c r="F28" s="28">
        <f>SUMIF('Rekap Parameter'!$B$5:$B$47,A28,'Rekap Parameter'!$H$5:$H$47)</f>
        <v/>
      </c>
      <c r="G28" s="48">
        <f>SUMIF('KK Penjaminan Kualitas'!$T$6:$T$676,A28&amp;"-*",'KK Penjaminan Kualitas'!$R$6:$R$676)</f>
        <v/>
      </c>
      <c r="H28" s="38">
        <f>IF(F28=0,"",G28/F28)</f>
        <v/>
      </c>
      <c r="I28" s="28">
        <f>COUNTIFS('Rekap Parameter'!$B$5:$B$47,A28,'Rekap Parameter'!$Q$5:$Q$47,"&gt;=3")</f>
        <v/>
      </c>
      <c r="J28" s="30">
        <f>IF(H28="","Belum dinilai",IF(H28&gt;=0.8,"Tinggi",IF(H28&gt;=0.6,"Cukup",IF(H28&gt;=0.4,"Kurang","Rendah"))))</f>
        <v/>
      </c>
    </row>
    <row r="29">
      <c r="A29" s="40" t="inlineStr">
        <is>
          <t>4</t>
        </is>
      </c>
      <c r="B29" s="45" t="inlineStr">
        <is>
          <t>Unsur 4. Informasi dan Komunikasi</t>
        </is>
      </c>
      <c r="C29" s="40">
        <f>COUNTIF('Rekap Parameter'!$B$5:$B$47,"4.*")</f>
        <v/>
      </c>
      <c r="D29" s="40">
        <f>SUMIF('Rekap Parameter'!$B$5:$B$47,"4.*",'Rekap Parameter'!$F$5:$F$47)</f>
        <v/>
      </c>
      <c r="E29" s="40">
        <f>SUMIF('Rekap Parameter'!$B$5:$B$47,"4.*",'Rekap Parameter'!$G$5:$G$47)</f>
        <v/>
      </c>
      <c r="F29" s="40">
        <f>SUMIF('Rekap Parameter'!$B$5:$B$47,"4.*",'Rekap Parameter'!$H$5:$H$47)</f>
        <v/>
      </c>
      <c r="G29" s="46">
        <f>SUMIF('KK Penjaminan Kualitas'!$T$6:$T$676,"4.*",'KK Penjaminan Kualitas'!$R$6:$R$676)</f>
        <v/>
      </c>
      <c r="H29" s="55">
        <f>IF(F29=0,"",G29/F29)</f>
        <v/>
      </c>
      <c r="I29" s="40">
        <f>COUNTIFS('Rekap Parameter'!$B$5:$B$47,"4.*",'Rekap Parameter'!$Q$5:$Q$47,"&gt;=3")</f>
        <v/>
      </c>
      <c r="J29" s="47">
        <f>IF(H29="","Belum dinilai",IF(H29&gt;=0.8,"Tinggi",IF(H29&gt;=0.6,"Cukup",IF(H29&gt;=0.4,"Kurang","Rendah"))))</f>
        <v/>
      </c>
    </row>
    <row r="30">
      <c r="A30" s="28" t="inlineStr">
        <is>
          <t>4.1</t>
        </is>
      </c>
      <c r="B30" s="37" t="inlineStr">
        <is>
          <t>Informasi yang Relevan</t>
        </is>
      </c>
      <c r="C30" s="28">
        <f>COUNTIF('Rekap Parameter'!$B$5:$B$47,A30)</f>
        <v/>
      </c>
      <c r="D30" s="28">
        <f>SUMIF('Rekap Parameter'!$B$5:$B$47,A30,'Rekap Parameter'!$F$5:$F$47)</f>
        <v/>
      </c>
      <c r="E30" s="28">
        <f>SUMIF('Rekap Parameter'!$B$5:$B$47,A30,'Rekap Parameter'!$G$5:$G$47)</f>
        <v/>
      </c>
      <c r="F30" s="28">
        <f>SUMIF('Rekap Parameter'!$B$5:$B$47,A30,'Rekap Parameter'!$H$5:$H$47)</f>
        <v/>
      </c>
      <c r="G30" s="48">
        <f>SUMIF('KK Penjaminan Kualitas'!$T$6:$T$676,A30&amp;"-*",'KK Penjaminan Kualitas'!$R$6:$R$676)</f>
        <v/>
      </c>
      <c r="H30" s="38">
        <f>IF(F30=0,"",G30/F30)</f>
        <v/>
      </c>
      <c r="I30" s="28">
        <f>COUNTIFS('Rekap Parameter'!$B$5:$B$47,A30,'Rekap Parameter'!$Q$5:$Q$47,"&gt;=3")</f>
        <v/>
      </c>
      <c r="J30" s="30">
        <f>IF(H30="","Belum dinilai",IF(H30&gt;=0.8,"Tinggi",IF(H30&gt;=0.6,"Cukup",IF(H30&gt;=0.4,"Kurang","Rendah"))))</f>
        <v/>
      </c>
    </row>
    <row r="31">
      <c r="A31" s="28" t="inlineStr">
        <is>
          <t>4.2</t>
        </is>
      </c>
      <c r="B31" s="37" t="inlineStr">
        <is>
          <t>Komunikasi yang Efektif</t>
        </is>
      </c>
      <c r="C31" s="28">
        <f>COUNTIF('Rekap Parameter'!$B$5:$B$47,A31)</f>
        <v/>
      </c>
      <c r="D31" s="28">
        <f>SUMIF('Rekap Parameter'!$B$5:$B$47,A31,'Rekap Parameter'!$F$5:$F$47)</f>
        <v/>
      </c>
      <c r="E31" s="28">
        <f>SUMIF('Rekap Parameter'!$B$5:$B$47,A31,'Rekap Parameter'!$G$5:$G$47)</f>
        <v/>
      </c>
      <c r="F31" s="28">
        <f>SUMIF('Rekap Parameter'!$B$5:$B$47,A31,'Rekap Parameter'!$H$5:$H$47)</f>
        <v/>
      </c>
      <c r="G31" s="48">
        <f>SUMIF('KK Penjaminan Kualitas'!$T$6:$T$676,A31&amp;"-*",'KK Penjaminan Kualitas'!$R$6:$R$676)</f>
        <v/>
      </c>
      <c r="H31" s="38">
        <f>IF(F31=0,"",G31/F31)</f>
        <v/>
      </c>
      <c r="I31" s="28">
        <f>COUNTIFS('Rekap Parameter'!$B$5:$B$47,A31,'Rekap Parameter'!$Q$5:$Q$47,"&gt;=3")</f>
        <v/>
      </c>
      <c r="J31" s="30">
        <f>IF(H31="","Belum dinilai",IF(H31&gt;=0.8,"Tinggi",IF(H31&gt;=0.6,"Cukup",IF(H31&gt;=0.4,"Kurang","Rendah"))))</f>
        <v/>
      </c>
    </row>
    <row r="32">
      <c r="A32" s="40" t="inlineStr">
        <is>
          <t>5</t>
        </is>
      </c>
      <c r="B32" s="45" t="inlineStr">
        <is>
          <t>Unsur 5. Pemantauan</t>
        </is>
      </c>
      <c r="C32" s="40">
        <f>COUNTIF('Rekap Parameter'!$B$5:$B$47,"5.*")</f>
        <v/>
      </c>
      <c r="D32" s="40">
        <f>SUMIF('Rekap Parameter'!$B$5:$B$47,"5.*",'Rekap Parameter'!$F$5:$F$47)</f>
        <v/>
      </c>
      <c r="E32" s="40">
        <f>SUMIF('Rekap Parameter'!$B$5:$B$47,"5.*",'Rekap Parameter'!$G$5:$G$47)</f>
        <v/>
      </c>
      <c r="F32" s="40">
        <f>SUMIF('Rekap Parameter'!$B$5:$B$47,"5.*",'Rekap Parameter'!$H$5:$H$47)</f>
        <v/>
      </c>
      <c r="G32" s="46">
        <f>SUMIF('KK Penjaminan Kualitas'!$T$6:$T$676,"5.*",'KK Penjaminan Kualitas'!$R$6:$R$676)</f>
        <v/>
      </c>
      <c r="H32" s="55">
        <f>IF(F32=0,"",G32/F32)</f>
        <v/>
      </c>
      <c r="I32" s="40">
        <f>COUNTIFS('Rekap Parameter'!$B$5:$B$47,"5.*",'Rekap Parameter'!$Q$5:$Q$47,"&gt;=3")</f>
        <v/>
      </c>
      <c r="J32" s="47">
        <f>IF(H32="","Belum dinilai",IF(H32&gt;=0.8,"Tinggi",IF(H32&gt;=0.6,"Cukup",IF(H32&gt;=0.4,"Kurang","Rendah"))))</f>
        <v/>
      </c>
    </row>
    <row r="33">
      <c r="A33" s="28" t="inlineStr">
        <is>
          <t>5.1</t>
        </is>
      </c>
      <c r="B33" s="37" t="inlineStr">
        <is>
          <t>Pemantauan Berkelanjutan</t>
        </is>
      </c>
      <c r="C33" s="28">
        <f>COUNTIF('Rekap Parameter'!$B$5:$B$47,A33)</f>
        <v/>
      </c>
      <c r="D33" s="28">
        <f>SUMIF('Rekap Parameter'!$B$5:$B$47,A33,'Rekap Parameter'!$F$5:$F$47)</f>
        <v/>
      </c>
      <c r="E33" s="28">
        <f>SUMIF('Rekap Parameter'!$B$5:$B$47,A33,'Rekap Parameter'!$G$5:$G$47)</f>
        <v/>
      </c>
      <c r="F33" s="28">
        <f>SUMIF('Rekap Parameter'!$B$5:$B$47,A33,'Rekap Parameter'!$H$5:$H$47)</f>
        <v/>
      </c>
      <c r="G33" s="48">
        <f>SUMIF('KK Penjaminan Kualitas'!$T$6:$T$676,A33&amp;"-*",'KK Penjaminan Kualitas'!$R$6:$R$676)</f>
        <v/>
      </c>
      <c r="H33" s="38">
        <f>IF(F33=0,"",G33/F33)</f>
        <v/>
      </c>
      <c r="I33" s="28">
        <f>COUNTIFS('Rekap Parameter'!$B$5:$B$47,A33,'Rekap Parameter'!$Q$5:$Q$47,"&gt;=3")</f>
        <v/>
      </c>
      <c r="J33" s="30">
        <f>IF(H33="","Belum dinilai",IF(H33&gt;=0.8,"Tinggi",IF(H33&gt;=0.6,"Cukup",IF(H33&gt;=0.4,"Kurang","Rendah"))))</f>
        <v/>
      </c>
    </row>
    <row r="34">
      <c r="A34" s="28" t="inlineStr">
        <is>
          <t>5.2</t>
        </is>
      </c>
      <c r="B34" s="37" t="inlineStr">
        <is>
          <t>Evaluasi Terpisah</t>
        </is>
      </c>
      <c r="C34" s="28">
        <f>COUNTIF('Rekap Parameter'!$B$5:$B$47,A34)</f>
        <v/>
      </c>
      <c r="D34" s="28">
        <f>SUMIF('Rekap Parameter'!$B$5:$B$47,A34,'Rekap Parameter'!$F$5:$F$47)</f>
        <v/>
      </c>
      <c r="E34" s="28">
        <f>SUMIF('Rekap Parameter'!$B$5:$B$47,A34,'Rekap Parameter'!$G$5:$G$47)</f>
        <v/>
      </c>
      <c r="F34" s="28">
        <f>SUMIF('Rekap Parameter'!$B$5:$B$47,A34,'Rekap Parameter'!$H$5:$H$47)</f>
        <v/>
      </c>
      <c r="G34" s="48">
        <f>SUMIF('KK Penjaminan Kualitas'!$T$6:$T$676,A34&amp;"-*",'KK Penjaminan Kualitas'!$R$6:$R$676)</f>
        <v/>
      </c>
      <c r="H34" s="38">
        <f>IF(F34=0,"",G34/F34)</f>
        <v/>
      </c>
      <c r="I34" s="28">
        <f>COUNTIFS('Rekap Parameter'!$B$5:$B$47,A34,'Rekap Parameter'!$Q$5:$Q$47,"&gt;=3")</f>
        <v/>
      </c>
      <c r="J34" s="30">
        <f>IF(H34="","Belum dinilai",IF(H34&gt;=0.8,"Tinggi",IF(H34&gt;=0.6,"Cukup",IF(H34&gt;=0.4,"Kurang","Rendah"))))</f>
        <v/>
      </c>
    </row>
    <row r="35">
      <c r="A35" s="49" t="n"/>
      <c r="B35" s="50" t="inlineStr">
        <is>
          <t>TOTAL OPD</t>
        </is>
      </c>
      <c r="C35" s="49">
        <f>C5+C14+C17+C29+C32</f>
        <v/>
      </c>
      <c r="D35" s="49">
        <f>D5+D14+D17+D29+D32</f>
        <v/>
      </c>
      <c r="E35" s="49">
        <f>E5+E14+E17+E29+E32</f>
        <v/>
      </c>
      <c r="F35" s="49">
        <f>F5+F14+F17+F29+F32</f>
        <v/>
      </c>
      <c r="G35" s="51">
        <f>G5+G14+G17+G29+G32</f>
        <v/>
      </c>
      <c r="H35" s="52">
        <f>IF(F35=0,"",G35/F35)</f>
        <v/>
      </c>
      <c r="I35" s="49">
        <f>I5+I14+I17+I29+I32</f>
        <v/>
      </c>
      <c r="J35" s="49">
        <f>IF(H35="","Belum dinilai",IF(H35&gt;=0.8,"Tinggi",IF(H35&gt;=0.6,"Cukup",IF(H35&gt;=0.4,"Kurang","Rendah"))))</f>
        <v/>
      </c>
    </row>
    <row r="37">
      <c r="A37" s="44" t="inlineStr">
        <is>
          <t>Keterangan kategori (asumsi kertas kerja, dapat disesuaikan): Tinggi ≥ 80%; Cukup 60–&lt;80%; Kurang 40–&lt;60%; Rendah &lt; 40%. Kolom 'Parameter ≥ Level 3' menunjukkan jumlah parameter yang dokumennya telah lengkap sampai Grade C (target Level 3 – Terdefinisi).</t>
        </is>
      </c>
    </row>
    <row r="40">
      <c r="B40" s="53" t="inlineStr">
        <is>
          <t>Mengetahui,</t>
        </is>
      </c>
      <c r="H40" s="53">
        <f>"Mahakam Ulu, "&amp;IF(Petunjuk!$C$7="","....................",Petunjuk!$C$7)</f>
        <v/>
      </c>
    </row>
    <row r="41">
      <c r="B41" s="53" t="inlineStr">
        <is>
          <t>Pengendali Teknis</t>
        </is>
      </c>
      <c r="H41" s="53" t="inlineStr">
        <is>
          <t>Ketua Tim</t>
        </is>
      </c>
    </row>
    <row r="42">
      <c r="B42" s="53" t="n"/>
      <c r="H42" s="53" t="n"/>
    </row>
    <row r="43">
      <c r="B43" s="53" t="n"/>
      <c r="H43" s="53" t="n"/>
    </row>
    <row r="44">
      <c r="B44" s="53" t="n"/>
      <c r="H44" s="53" t="n"/>
    </row>
    <row r="45">
      <c r="B45" s="54">
        <f>IF(Petunjuk!$C$8="","(..............................)",Petunjuk!$C$8)</f>
        <v/>
      </c>
      <c r="H45" s="54">
        <f>IF(Petunjuk!$C$9="","(..............................)",Petunjuk!$C$9)</f>
        <v/>
      </c>
    </row>
    <row r="46">
      <c r="B46" s="53" t="inlineStr">
        <is>
          <t>NIP. ...............................</t>
        </is>
      </c>
      <c r="H46" s="53" t="inlineStr">
        <is>
          <t>NIP. ...............................</t>
        </is>
      </c>
    </row>
  </sheetData>
  <pageMargins left="0.75" right="0.75" top="1" bottom="1" header="0.511811023622047" footer="0.511811023622047"/>
  <pageSetup orientation="landscape" paperSize="5"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2026-09-30T23:59:59Z</dcterms:created>
  <dcterms:modified xmlns:dcterms="http://purl.org/dc/terms/" xmlns:xsi="http://www.w3.org/2001/XMLSchema-instance" xsi:type="dcterms:W3CDTF">2026-10-07T19:57:35Z</dcterms:modified>
  <cp:lastModifiedBy>Perencana Hari Ini</cp:lastModifiedBy>
  <cp:revision>0</cp:revision>
</cp:coreProperties>
</file>